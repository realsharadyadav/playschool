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earning Path" sheetId="2" state="visible" r:id="rId4"/>
    <sheet name="Python" sheetId="3" state="visible" r:id="rId5"/>
    <sheet name="GenAI" sheetId="4" state="visible" r:id="rId6"/>
    <sheet name="Agentic AI" sheetId="5" state="visible" r:id="rId7"/>
  </sheets>
  <definedNames>
    <definedName function="false" hidden="true" localSheetId="4" name="_xlnm._FilterDatabase" vbProcedure="false">'Agentic AI'!$A$1:$J$124</definedName>
    <definedName function="false" hidden="true" localSheetId="3" name="_xlnm._FilterDatabase" vbProcedure="false">GenAI!$A$1:$J$150</definedName>
    <definedName function="false" hidden="true" localSheetId="1" name="_xlnm._FilterDatabase" vbProcedure="false">'Learning Path'!$A$1:$J$81</definedName>
    <definedName function="false" hidden="true" localSheetId="2" name="_xlnm._FilterDatabase" vbProcedure="false">Python!$A$1:$J$121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<sst xmlns="http://schemas.openxmlformats.org/spreadsheetml/2006/main" count="4071" uniqueCount="1038">
  <si>
    <t xml:space="preserve">GenAI Architect Learning Tracker  (.NET Architect -&gt; Python -&gt; GenAI -&gt; Agentic AI)</t>
  </si>
  <si>
    <t xml:space="preserve">Follow the 'Learning Path' sheet in Seq # order. 1 Topic = 1 Reel (any length). Update status via dropdowns in the track sheets.</t>
  </si>
  <si>
    <t xml:space="preserve">Track</t>
  </si>
  <si>
    <t xml:space="preserve">Total Subtopics</t>
  </si>
  <si>
    <t xml:space="preserve">Done</t>
  </si>
  <si>
    <t xml:space="preserve">In Progress</t>
  </si>
  <si>
    <t xml:space="preserve">Not Started</t>
  </si>
  <si>
    <t xml:space="preserve">Progress %</t>
  </si>
  <si>
    <t xml:space="preserve">P1 Subtopics</t>
  </si>
  <si>
    <t xml:space="preserve">P1 Done</t>
  </si>
  <si>
    <t xml:space="preserve">Scripts Ready/Made</t>
  </si>
  <si>
    <t xml:space="preserve">Python</t>
  </si>
  <si>
    <t xml:space="preserve">GenAI</t>
  </si>
  <si>
    <t xml:space="preserve">Agentic AI</t>
  </si>
  <si>
    <t xml:space="preserve">TOTAL</t>
  </si>
  <si>
    <t xml:space="preserve">Reels done (all subtopics Done)</t>
  </si>
  <si>
    <t xml:space="preserve">of 80</t>
  </si>
  <si>
    <t xml:space="preserve">LEGEND</t>
  </si>
  <si>
    <t xml:space="preserve">Priority: P1 = Must (architect-critical)  P2 = Should  P3 = Later</t>
  </si>
  <si>
    <t xml:space="preserve">Learning Path = dependency order (each reel builds on the previous). Do not skip stages.</t>
  </si>
  <si>
    <t xml:space="preserve">Items marked '(verify)' are fast-changing: re-check before making a reel.</t>
  </si>
  <si>
    <t xml:space="preserve">Reel structure: Intuition -&gt; Practical example -&gt; Technical details -&gt; Recap -&gt; 3 quiz Qs -&gt; 1 mini exercise.</t>
  </si>
  <si>
    <t xml:space="preserve">Fast-changing facts used: MCP spec 2026-07-28 (stateless core); Microsoft Agent Framework merges AutoGen + Semantic Kernel (web search, Oct 2026).</t>
  </si>
  <si>
    <t xml:space="preserve">Seq #</t>
  </si>
  <si>
    <t xml:space="preserve">Stage</t>
  </si>
  <si>
    <t xml:space="preserve">Reel ID</t>
  </si>
  <si>
    <t xml:space="preserve">Topic (1 Reel)</t>
  </si>
  <si>
    <t xml:space="preserve">Priority</t>
  </si>
  <si>
    <t xml:space="preserve">Subtopics</t>
  </si>
  <si>
    <t xml:space="preserve">Est. Length</t>
  </si>
  <si>
    <t xml:space="preserve">Prerequisite Reel(s)</t>
  </si>
  <si>
    <t xml:space="preserve">Reel Status (auto)</t>
  </si>
  <si>
    <t xml:space="preserve">1. Python Core</t>
  </si>
  <si>
    <t xml:space="preserve">PY-01</t>
  </si>
  <si>
    <t xml:space="preserve">Setup &amp; Tooling</t>
  </si>
  <si>
    <t xml:space="preserve">P1</t>
  </si>
  <si>
    <t xml:space="preserve">-</t>
  </si>
  <si>
    <t xml:space="preserve">PY-02</t>
  </si>
  <si>
    <t xml:space="preserve">Syntax Basics</t>
  </si>
  <si>
    <t xml:space="preserve">PY-03</t>
  </si>
  <si>
    <t xml:space="preserve">Core Data Structures</t>
  </si>
  <si>
    <t xml:space="preserve">PY-04</t>
  </si>
  <si>
    <t xml:space="preserve">Functions</t>
  </si>
  <si>
    <t xml:space="preserve">PY-05</t>
  </si>
  <si>
    <t xml:space="preserve">OOP in Python</t>
  </si>
  <si>
    <t xml:space="preserve">PY-06</t>
  </si>
  <si>
    <t xml:space="preserve">Modules &amp; Project Structure</t>
  </si>
  <si>
    <t xml:space="preserve">PY-07</t>
  </si>
  <si>
    <t xml:space="preserve">Errors, Files &amp; Config</t>
  </si>
  <si>
    <t xml:space="preserve">PY-08</t>
  </si>
  <si>
    <t xml:space="preserve">Type Hints</t>
  </si>
  <si>
    <t xml:space="preserve">PY-09</t>
  </si>
  <si>
    <t xml:space="preserve">Pydantic</t>
  </si>
  <si>
    <t xml:space="preserve">2. LLM Basics + API</t>
  </si>
  <si>
    <t xml:space="preserve">GA-01</t>
  </si>
  <si>
    <t xml:space="preserve">How LLMs Work</t>
  </si>
  <si>
    <t xml:space="preserve">GA-02</t>
  </si>
  <si>
    <t xml:space="preserve">Model Landscape</t>
  </si>
  <si>
    <t xml:space="preserve">GA-03</t>
  </si>
  <si>
    <t xml:space="preserve">API Basics</t>
  </si>
  <si>
    <t xml:space="preserve">GA-04</t>
  </si>
  <si>
    <t xml:space="preserve">Structured Output &amp; Tools</t>
  </si>
  <si>
    <t xml:space="preserve">GA-05</t>
  </si>
  <si>
    <t xml:space="preserve">Core Techniques</t>
  </si>
  <si>
    <t xml:space="preserve">GA-06</t>
  </si>
  <si>
    <t xml:space="preserve">Prompt Lifecycle</t>
  </si>
  <si>
    <t xml:space="preserve">P2</t>
  </si>
  <si>
    <t xml:space="preserve">3. Python for Data</t>
  </si>
  <si>
    <t xml:space="preserve">PY-24</t>
  </si>
  <si>
    <t xml:space="preserve">NumPy &amp; Vectors</t>
  </si>
  <si>
    <t xml:space="preserve">PY-25</t>
  </si>
  <si>
    <t xml:space="preserve">ML Basics</t>
  </si>
  <si>
    <t xml:space="preserve">PY-15</t>
  </si>
  <si>
    <t xml:space="preserve">pandas</t>
  </si>
  <si>
    <t xml:space="preserve">PY-17</t>
  </si>
  <si>
    <t xml:space="preserve">File Formats</t>
  </si>
  <si>
    <t xml:space="preserve">PY-18</t>
  </si>
  <si>
    <t xml:space="preserve">DuckDB</t>
  </si>
  <si>
    <t xml:space="preserve">PY-19</t>
  </si>
  <si>
    <t xml:space="preserve">Excel Automation</t>
  </si>
  <si>
    <t xml:space="preserve">4. Embeddings &gt; Vector DB &gt; RAG</t>
  </si>
  <si>
    <t xml:space="preserve">GA-07</t>
  </si>
  <si>
    <t xml:space="preserve">Embedding Concepts</t>
  </si>
  <si>
    <t xml:space="preserve">PY-24, GA-01</t>
  </si>
  <si>
    <t xml:space="preserve">GA-08</t>
  </si>
  <si>
    <t xml:space="preserve">Embedding Models</t>
  </si>
  <si>
    <t xml:space="preserve">PY-20</t>
  </si>
  <si>
    <t xml:space="preserve">SQL from Python</t>
  </si>
  <si>
    <t xml:space="preserve">GA-09</t>
  </si>
  <si>
    <t xml:space="preserve">Vector DB Fundamentals</t>
  </si>
  <si>
    <t xml:space="preserve">GA-08, PY-20</t>
  </si>
  <si>
    <t xml:space="preserve">GA-10</t>
  </si>
  <si>
    <t xml:space="preserve">Vector DB Options</t>
  </si>
  <si>
    <t xml:space="preserve">GA-11</t>
  </si>
  <si>
    <t xml:space="preserve">Operations</t>
  </si>
  <si>
    <t xml:space="preserve">GA-12</t>
  </si>
  <si>
    <t xml:space="preserve">Vector vs Parquet/SQL Decision</t>
  </si>
  <si>
    <t xml:space="preserve">GA-13</t>
  </si>
  <si>
    <t xml:space="preserve">RAG Architecture</t>
  </si>
  <si>
    <t xml:space="preserve">GA-09, GA-12</t>
  </si>
  <si>
    <t xml:space="preserve">GA-14</t>
  </si>
  <si>
    <t xml:space="preserve">Ingestion &amp; Chunking</t>
  </si>
  <si>
    <t xml:space="preserve">GA-15</t>
  </si>
  <si>
    <t xml:space="preserve">Retrieval Quality</t>
  </si>
  <si>
    <t xml:space="preserve">GA-16</t>
  </si>
  <si>
    <t xml:space="preserve">Generation &amp; Citations</t>
  </si>
  <si>
    <t xml:space="preserve">GA-17</t>
  </si>
  <si>
    <t xml:space="preserve">Advanced RAG</t>
  </si>
  <si>
    <t xml:space="preserve">5. App Building + Quality</t>
  </si>
  <si>
    <t xml:space="preserve">PY-10</t>
  </si>
  <si>
    <t xml:space="preserve">asyncio</t>
  </si>
  <si>
    <t xml:space="preserve">PY-11</t>
  </si>
  <si>
    <t xml:space="preserve">Threads vs Processes</t>
  </si>
  <si>
    <t xml:space="preserve">PY-12</t>
  </si>
  <si>
    <t xml:space="preserve">HTTP Clients</t>
  </si>
  <si>
    <t xml:space="preserve">PY-13</t>
  </si>
  <si>
    <t xml:space="preserve">FastAPI</t>
  </si>
  <si>
    <t xml:space="preserve">PY-22</t>
  </si>
  <si>
    <t xml:space="preserve">Testing &amp; Quality</t>
  </si>
  <si>
    <t xml:space="preserve">GA-20</t>
  </si>
  <si>
    <t xml:space="preserve">Eval Fundamentals</t>
  </si>
  <si>
    <t xml:space="preserve">GA-21</t>
  </si>
  <si>
    <t xml:space="preserve">RAG &amp; LLM Metrics</t>
  </si>
  <si>
    <t xml:space="preserve">6. Agents Core + MCP</t>
  </si>
  <si>
    <t xml:space="preserve">AG-01</t>
  </si>
  <si>
    <t xml:space="preserve">What is an Agent</t>
  </si>
  <si>
    <t xml:space="preserve">AG-02</t>
  </si>
  <si>
    <t xml:space="preserve">Tool Design</t>
  </si>
  <si>
    <t xml:space="preserve">AG-03</t>
  </si>
  <si>
    <t xml:space="preserve">Built-in Capabilities</t>
  </si>
  <si>
    <t xml:space="preserve">GA-18</t>
  </si>
  <si>
    <t xml:space="preserve">Text-to-SQL</t>
  </si>
  <si>
    <t xml:space="preserve">PY-18, GA-04</t>
  </si>
  <si>
    <t xml:space="preserve">GA-19</t>
  </si>
  <si>
    <t xml:space="preserve">Files as Data Source</t>
  </si>
  <si>
    <t xml:space="preserve">PY-18, PY-19</t>
  </si>
  <si>
    <t xml:space="preserve">AG-04</t>
  </si>
  <si>
    <t xml:space="preserve">MCP Concepts</t>
  </si>
  <si>
    <t xml:space="preserve">AG-05</t>
  </si>
  <si>
    <t xml:space="preserve">MCP Spec Evolution</t>
  </si>
  <si>
    <t xml:space="preserve">AG-06</t>
  </si>
  <si>
    <t xml:space="preserve">Using Existing MCP Servers</t>
  </si>
  <si>
    <t xml:space="preserve">AG-07</t>
  </si>
  <si>
    <t xml:space="preserve">MCP Security</t>
  </si>
  <si>
    <t xml:space="preserve">AG-08</t>
  </si>
  <si>
    <t xml:space="preserve">MCP Server Development</t>
  </si>
  <si>
    <t xml:space="preserve">AG-04, PY-13</t>
  </si>
  <si>
    <t xml:space="preserve">AG-09</t>
  </si>
  <si>
    <t xml:space="preserve">Project: Excel MCP Server</t>
  </si>
  <si>
    <t xml:space="preserve">AG-08, PY-19</t>
  </si>
  <si>
    <t xml:space="preserve">7. Patterns + Frameworks</t>
  </si>
  <si>
    <t xml:space="preserve">AG-10</t>
  </si>
  <si>
    <t xml:space="preserve">Workflow Patterns</t>
  </si>
  <si>
    <t xml:space="preserve">AG-11</t>
  </si>
  <si>
    <t xml:space="preserve">Agent Reasoning</t>
  </si>
  <si>
    <t xml:space="preserve">AG-12</t>
  </si>
  <si>
    <t xml:space="preserve">Memory Types</t>
  </si>
  <si>
    <t xml:space="preserve">AG-13</t>
  </si>
  <si>
    <t xml:space="preserve">Context Management</t>
  </si>
  <si>
    <t xml:space="preserve">AG-14</t>
  </si>
  <si>
    <t xml:space="preserve">Architectures</t>
  </si>
  <si>
    <t xml:space="preserve">AG-15</t>
  </si>
  <si>
    <t xml:space="preserve">Framework Landscape</t>
  </si>
  <si>
    <t xml:space="preserve">AG-10, AG-12</t>
  </si>
  <si>
    <t xml:space="preserve">AG-16</t>
  </si>
  <si>
    <t xml:space="preserve">Framework Selection</t>
  </si>
  <si>
    <t xml:space="preserve">8. Production + Security</t>
  </si>
  <si>
    <t xml:space="preserve">GA-22</t>
  </si>
  <si>
    <t xml:space="preserve">Security Threats</t>
  </si>
  <si>
    <t xml:space="preserve">GA-23</t>
  </si>
  <si>
    <t xml:space="preserve">Controls</t>
  </si>
  <si>
    <t xml:space="preserve">GA-24</t>
  </si>
  <si>
    <t xml:space="preserve">Observability</t>
  </si>
  <si>
    <t xml:space="preserve">GA-25</t>
  </si>
  <si>
    <t xml:space="preserve">Performance &amp; Cost</t>
  </si>
  <si>
    <t xml:space="preserve">GA-26</t>
  </si>
  <si>
    <t xml:space="preserve">Deployment</t>
  </si>
  <si>
    <t xml:space="preserve">AG-17</t>
  </si>
  <si>
    <t xml:space="preserve">Control Design</t>
  </si>
  <si>
    <t xml:space="preserve">AG-18</t>
  </si>
  <si>
    <t xml:space="preserve">Agent Evals</t>
  </si>
  <si>
    <t xml:space="preserve">AG-19</t>
  </si>
  <si>
    <t xml:space="preserve">Production Engineering</t>
  </si>
  <si>
    <t xml:space="preserve">AG-20</t>
  </si>
  <si>
    <t xml:space="preserve">Threat Model</t>
  </si>
  <si>
    <t xml:space="preserve">PY-23</t>
  </si>
  <si>
    <t xml:space="preserve">Packaging &amp; Deployment</t>
  </si>
  <si>
    <t xml:space="preserve">9. Hands-on Projects</t>
  </si>
  <si>
    <t xml:space="preserve">AG-21</t>
  </si>
  <si>
    <t xml:space="preserve">Project: SOP-to-Excel Agent</t>
  </si>
  <si>
    <t xml:space="preserve">AG-09, GA-18</t>
  </si>
  <si>
    <t xml:space="preserve">AG-22</t>
  </si>
  <si>
    <t xml:space="preserve">Project: Data Analyst Agent</t>
  </si>
  <si>
    <t xml:space="preserve">AG-23</t>
  </si>
  <si>
    <t xml:space="preserve">Project: Document Processing Agent</t>
  </si>
  <si>
    <t xml:space="preserve">GA-14, AG-09</t>
  </si>
  <si>
    <t xml:space="preserve">AG-24</t>
  </si>
  <si>
    <t xml:space="preserve">Project: Messaging Assistant</t>
  </si>
  <si>
    <t xml:space="preserve">AG-12, PY-13</t>
  </si>
  <si>
    <t xml:space="preserve">10. Architect Layer + Extras</t>
  </si>
  <si>
    <t xml:space="preserve">GA-29</t>
  </si>
  <si>
    <t xml:space="preserve">Azure AI Services</t>
  </si>
  <si>
    <t xml:space="preserve">GA-30</t>
  </si>
  <si>
    <t xml:space="preserve">Architect Toolkit</t>
  </si>
  <si>
    <t xml:space="preserve">GA-17, GA-26</t>
  </si>
  <si>
    <t xml:space="preserve">AG-25</t>
  </si>
  <si>
    <t xml:space="preserve">AG-20, AG-16</t>
  </si>
  <si>
    <t xml:space="preserve">GA-27</t>
  </si>
  <si>
    <t xml:space="preserve">RAG vs Fine-tune vs Prompt</t>
  </si>
  <si>
    <t xml:space="preserve">GA-28</t>
  </si>
  <si>
    <t xml:space="preserve">Beyond Text</t>
  </si>
  <si>
    <t xml:space="preserve">P3</t>
  </si>
  <si>
    <t xml:space="preserve">PY-14</t>
  </si>
  <si>
    <t xml:space="preserve">Real-time &amp; Webhooks</t>
  </si>
  <si>
    <t xml:space="preserve">PY-16</t>
  </si>
  <si>
    <t xml:space="preserve">polars</t>
  </si>
  <si>
    <t xml:space="preserve">PY-21</t>
  </si>
  <si>
    <t xml:space="preserve">NoSQL &amp; Cache</t>
  </si>
  <si>
    <t xml:space="preserve">Module</t>
  </si>
  <si>
    <t xml:space="preserve">Subtopic</t>
  </si>
  <si>
    <t xml:space="preserve">What it is (one line)</t>
  </si>
  <si>
    <t xml:space="preserve">Learning Status</t>
  </si>
  <si>
    <t xml:space="preserve">Reel Script Status</t>
  </si>
  <si>
    <t xml:space="preserve">1. Python Foundations (C# mapping)</t>
  </si>
  <si>
    <t xml:space="preserve">Python versions &amp; install</t>
  </si>
  <si>
    <t xml:space="preserve">Pick one stable version, manage multiple</t>
  </si>
  <si>
    <t xml:space="preserve">venv &amp; uv/pip</t>
  </si>
  <si>
    <t xml:space="preserve">Isolated environments (like per-project NuGet)</t>
  </si>
  <si>
    <t xml:space="preserve">pyproject.toml &amp; requirements</t>
  </si>
  <si>
    <t xml:space="preserve">Dependency declaration, lockfiles</t>
  </si>
  <si>
    <t xml:space="preserve">IDE setup</t>
  </si>
  <si>
    <t xml:space="preserve">VS Code / PyCharm, debugger, formatter</t>
  </si>
  <si>
    <t xml:space="preserve">Jupyter notebooks</t>
  </si>
  <si>
    <t xml:space="preserve">Quick experiments for data &amp; LLM work</t>
  </si>
  <si>
    <t xml:space="preserve">Dynamic typing</t>
  </si>
  <si>
    <t xml:space="preserve">No compile-time types, what that means</t>
  </si>
  <si>
    <t xml:space="preserve">Indentation &amp; blocks</t>
  </si>
  <si>
    <t xml:space="preserve">Whitespace is syntax</t>
  </si>
  <si>
    <t xml:space="preserve">f-strings &amp; formatting</t>
  </si>
  <si>
    <t xml:space="preserve">String interpolation</t>
  </si>
  <si>
    <t xml:space="preserve">None, truthiness</t>
  </si>
  <si>
    <t xml:space="preserve">null vs None, falsy values</t>
  </si>
  <si>
    <t xml:space="preserve">Operators &amp; ranges</t>
  </si>
  <si>
    <t xml:space="preserve">is vs ==, in, range()</t>
  </si>
  <si>
    <t xml:space="preserve">list &amp; tuple</t>
  </si>
  <si>
    <t xml:space="preserve">Mutable vs immutable sequences</t>
  </si>
  <si>
    <t xml:space="preserve">dict</t>
  </si>
  <si>
    <t xml:space="preserve">Hash map, the most-used structure</t>
  </si>
  <si>
    <t xml:space="preserve">set</t>
  </si>
  <si>
    <t xml:space="preserve">Unique items, fast membership</t>
  </si>
  <si>
    <t xml:space="preserve">Comprehensions</t>
  </si>
  <si>
    <t xml:space="preserve">LINQ-style one-liners</t>
  </si>
  <si>
    <t xml:space="preserve">Slicing &amp; unpacking</t>
  </si>
  <si>
    <t xml:space="preserve">a[1:3], a, *b = x</t>
  </si>
  <si>
    <t xml:space="preserve">def, args, kwargs</t>
  </si>
  <si>
    <t xml:space="preserve">Positional, keyword, variable args</t>
  </si>
  <si>
    <t xml:space="preserve">Mutable default arg trap</t>
  </si>
  <si>
    <t xml:space="preserve">Classic bug to avoid</t>
  </si>
  <si>
    <t xml:space="preserve">lambda &amp; closures</t>
  </si>
  <si>
    <t xml:space="preserve">Inline functions, captured state</t>
  </si>
  <si>
    <t xml:space="preserve">Decorators</t>
  </si>
  <si>
    <t xml:space="preserve">Wrap functions (like middleware/attributes)</t>
  </si>
  <si>
    <t xml:space="preserve">Generators &amp; yield</t>
  </si>
  <si>
    <t xml:space="preserve">Lazy streaming of data</t>
  </si>
  <si>
    <t xml:space="preserve">Classes &amp; __init__</t>
  </si>
  <si>
    <t xml:space="preserve">Constructor, self</t>
  </si>
  <si>
    <t xml:space="preserve">Dunder methods</t>
  </si>
  <si>
    <t xml:space="preserve">__str__, __eq__, __len__ etc.</t>
  </si>
  <si>
    <t xml:space="preserve">Inheritance &amp; super()</t>
  </si>
  <si>
    <t xml:space="preserve">Reuse and override</t>
  </si>
  <si>
    <t xml:space="preserve">dataclasses</t>
  </si>
  <si>
    <t xml:space="preserve">Auto-generated DTO-style classes</t>
  </si>
  <si>
    <t xml:space="preserve">Protocol &amp; ABC</t>
  </si>
  <si>
    <t xml:space="preserve">Interfaces in Python</t>
  </si>
  <si>
    <t xml:space="preserve">@property</t>
  </si>
  <si>
    <t xml:space="preserve">Getters/setters</t>
  </si>
  <si>
    <t xml:space="preserve">import system</t>
  </si>
  <si>
    <t xml:space="preserve">Modules, packages, __init__.py</t>
  </si>
  <si>
    <t xml:space="preserve">Folder layout</t>
  </si>
  <si>
    <t xml:space="preserve">src layout, app/tests split</t>
  </si>
  <si>
    <t xml:space="preserve">Relative vs absolute imports</t>
  </si>
  <si>
    <t xml:space="preserve">Common import errors</t>
  </si>
  <si>
    <t xml:space="preserve">Entry points</t>
  </si>
  <si>
    <t xml:space="preserve">if __name__ == '__main__'</t>
  </si>
  <si>
    <t xml:space="preserve">try/except/finally</t>
  </si>
  <si>
    <t xml:space="preserve">Exception handling</t>
  </si>
  <si>
    <t xml:space="preserve">Custom exceptions</t>
  </si>
  <si>
    <t xml:space="preserve">Domain errors</t>
  </si>
  <si>
    <t xml:space="preserve">Context managers</t>
  </si>
  <si>
    <t xml:space="preserve">'with' = using/IDisposable</t>
  </si>
  <si>
    <t xml:space="preserve">pathlib</t>
  </si>
  <si>
    <t xml:space="preserve">Modern file path handling</t>
  </si>
  <si>
    <t xml:space="preserve">json module</t>
  </si>
  <si>
    <t xml:space="preserve">Read/write JSON</t>
  </si>
  <si>
    <t xml:space="preserve">Env vars &amp; .env</t>
  </si>
  <si>
    <t xml:space="preserve">Config &amp; secrets handling</t>
  </si>
  <si>
    <t xml:space="preserve">2. Typing &amp; Validation</t>
  </si>
  <si>
    <t xml:space="preserve">Basic hints</t>
  </si>
  <si>
    <t xml:space="preserve">int, str, list[str], dict[str,int]</t>
  </si>
  <si>
    <t xml:space="preserve">Optional / Union</t>
  </si>
  <si>
    <t xml:space="preserve">Nullable &amp; multi-type</t>
  </si>
  <si>
    <t xml:space="preserve">Generics &amp; TypedDict</t>
  </si>
  <si>
    <t xml:space="preserve">Typed collections and dict shapes</t>
  </si>
  <si>
    <t xml:space="preserve">mypy / pyright</t>
  </si>
  <si>
    <t xml:space="preserve">Static type checking</t>
  </si>
  <si>
    <t xml:space="preserve">BaseModel</t>
  </si>
  <si>
    <t xml:space="preserve">Validated data classes (core for LLM structured output)</t>
  </si>
  <si>
    <t xml:space="preserve">Field validators</t>
  </si>
  <si>
    <t xml:space="preserve">Custom validation rules</t>
  </si>
  <si>
    <t xml:space="preserve">pydantic-settings</t>
  </si>
  <si>
    <t xml:space="preserve">Typed config from env</t>
  </si>
  <si>
    <t xml:space="preserve">JSON Schema export</t>
  </si>
  <si>
    <t xml:space="preserve">Feeds LLM tool definitions</t>
  </si>
  <si>
    <t xml:space="preserve">8. Math &amp; ML Foundations (just enough)</t>
  </si>
  <si>
    <t xml:space="preserve">NumPy arrays</t>
  </si>
  <si>
    <t xml:space="preserve">Fast numeric arrays</t>
  </si>
  <si>
    <t xml:space="preserve">Dot product &amp; norm</t>
  </si>
  <si>
    <t xml:space="preserve">Basis of similarity</t>
  </si>
  <si>
    <t xml:space="preserve">Cosine similarity</t>
  </si>
  <si>
    <t xml:space="preserve">How embeddings are compared</t>
  </si>
  <si>
    <t xml:space="preserve">Broadcasting</t>
  </si>
  <si>
    <t xml:space="preserve">Vectorized operations</t>
  </si>
  <si>
    <t xml:space="preserve">Supervised vs unsupervised</t>
  </si>
  <si>
    <t xml:space="preserve">Core ML types</t>
  </si>
  <si>
    <t xml:space="preserve">Train/test split &amp; overfitting</t>
  </si>
  <si>
    <t xml:space="preserve">Why models fail on new data</t>
  </si>
  <si>
    <t xml:space="preserve">Metrics</t>
  </si>
  <si>
    <t xml:space="preserve">Accuracy, precision, recall, F1</t>
  </si>
  <si>
    <t xml:space="preserve">scikit-learn basics</t>
  </si>
  <si>
    <t xml:space="preserve">Quick classical ML</t>
  </si>
  <si>
    <t xml:space="preserve">Neural network intuition</t>
  </si>
  <si>
    <t xml:space="preserve">Layers, weights, gradient descent</t>
  </si>
  <si>
    <t xml:space="preserve">5. Data Handling</t>
  </si>
  <si>
    <t xml:space="preserve">DataFrame &amp; Series</t>
  </si>
  <si>
    <t xml:space="preserve">Core structures</t>
  </si>
  <si>
    <t xml:space="preserve">Select, filter, sort</t>
  </si>
  <si>
    <t xml:space="preserve">loc / iloc / boolean masks</t>
  </si>
  <si>
    <t xml:space="preserve">groupby &amp; aggregate</t>
  </si>
  <si>
    <t xml:space="preserve">SQL GROUP BY equivalent</t>
  </si>
  <si>
    <t xml:space="preserve">merge / join</t>
  </si>
  <si>
    <t xml:space="preserve">SQL JOIN equivalent</t>
  </si>
  <si>
    <t xml:space="preserve">Missing data &amp; dtypes</t>
  </si>
  <si>
    <t xml:space="preserve">NaN handling, type fixes</t>
  </si>
  <si>
    <t xml:space="preserve">Memory &amp; performance tips</t>
  </si>
  <si>
    <t xml:space="preserve">Chunking, categories</t>
  </si>
  <si>
    <t xml:space="preserve">CSV pitfalls</t>
  </si>
  <si>
    <t xml:space="preserve">Encoding, delimiters, no types</t>
  </si>
  <si>
    <t xml:space="preserve">JSON &amp; JSONL</t>
  </si>
  <si>
    <t xml:space="preserve">Nested data, line-delimited logs</t>
  </si>
  <si>
    <t xml:space="preserve">Parquet</t>
  </si>
  <si>
    <t xml:space="preserve">Columnar, compressed, typed format</t>
  </si>
  <si>
    <t xml:space="preserve">Parquet partitioning</t>
  </si>
  <si>
    <t xml:space="preserve">Folder-based partitions for speed</t>
  </si>
  <si>
    <t xml:space="preserve">Arrow / PyArrow</t>
  </si>
  <si>
    <t xml:space="preserve">In-memory columnar layer</t>
  </si>
  <si>
    <t xml:space="preserve">When Parquet vs DB vs Vector</t>
  </si>
  <si>
    <t xml:space="preserve">Decision guide</t>
  </si>
  <si>
    <t xml:space="preserve">What is DuckDB</t>
  </si>
  <si>
    <t xml:space="preserve">Embedded analytics SQL engine</t>
  </si>
  <si>
    <t xml:space="preserve">Query CSV/Parquet directly</t>
  </si>
  <si>
    <t xml:space="preserve">SELECT * FROM 'file.parquet'</t>
  </si>
  <si>
    <t xml:space="preserve">Joins across files</t>
  </si>
  <si>
    <t xml:space="preserve">Mix CSV, Parquet, DataFrames</t>
  </si>
  <si>
    <t xml:space="preserve">Python integration</t>
  </si>
  <si>
    <t xml:space="preserve">duckdb.sql(), DataFrame &lt;-&gt; SQL</t>
  </si>
  <si>
    <t xml:space="preserve">DuckDB vs SQLite vs SQL Server</t>
  </si>
  <si>
    <t xml:space="preserve">When to use which</t>
  </si>
  <si>
    <t xml:space="preserve">Persisting &amp; exporting</t>
  </si>
  <si>
    <t xml:space="preserve">Save tables, COPY TO Parquet</t>
  </si>
  <si>
    <t xml:space="preserve">openpyxl read/write</t>
  </si>
  <si>
    <t xml:space="preserve">Cells, sheets, formulas</t>
  </si>
  <si>
    <t xml:space="preserve">Preserve formatting &amp; formulas</t>
  </si>
  <si>
    <t xml:space="preserve">Avoid breaking workbooks</t>
  </si>
  <si>
    <t xml:space="preserve">pandas read_excel / to_excel</t>
  </si>
  <si>
    <t xml:space="preserve">Bulk data in/out</t>
  </si>
  <si>
    <t xml:space="preserve">Multiple workbooks batch</t>
  </si>
  <si>
    <t xml:space="preserve">Loop and update many files</t>
  </si>
  <si>
    <t xml:space="preserve">xlwings / COM</t>
  </si>
  <si>
    <t xml:space="preserve">Drive real Excel on Windows</t>
  </si>
  <si>
    <t xml:space="preserve">Safe-write pattern</t>
  </si>
  <si>
    <t xml:space="preserve">Backup, dry-run, diff, rollback</t>
  </si>
  <si>
    <t xml:space="preserve">6. Databases</t>
  </si>
  <si>
    <t xml:space="preserve">SQLAlchemy Core &amp; ORM</t>
  </si>
  <si>
    <t xml:space="preserve">EF Core equivalent</t>
  </si>
  <si>
    <t xml:space="preserve">pyodbc &amp; SQL Server</t>
  </si>
  <si>
    <t xml:space="preserve">Connect to existing MSSQL</t>
  </si>
  <si>
    <t xml:space="preserve">Connection pooling</t>
  </si>
  <si>
    <t xml:space="preserve">Efficient connections</t>
  </si>
  <si>
    <t xml:space="preserve">Alembic migrations</t>
  </si>
  <si>
    <t xml:space="preserve">Schema versioning</t>
  </si>
  <si>
    <t xml:space="preserve">Postgres basics</t>
  </si>
  <si>
    <t xml:space="preserve">Open-source default for AI apps</t>
  </si>
  <si>
    <t xml:space="preserve">pgvector intro</t>
  </si>
  <si>
    <t xml:space="preserve">Vectors inside Postgres</t>
  </si>
  <si>
    <t xml:space="preserve">3. Async &amp; Concurrency</t>
  </si>
  <si>
    <t xml:space="preserve">async / await</t>
  </si>
  <si>
    <t xml:space="preserve">Same idea as C#, different runtime</t>
  </si>
  <si>
    <t xml:space="preserve">Event loop</t>
  </si>
  <si>
    <t xml:space="preserve">How Python schedules coroutines</t>
  </si>
  <si>
    <t xml:space="preserve">asyncio.gather</t>
  </si>
  <si>
    <t xml:space="preserve">Run many LLM/API calls in parallel</t>
  </si>
  <si>
    <t xml:space="preserve">Semaphore &amp; rate limiting</t>
  </si>
  <si>
    <t xml:space="preserve">Control concurrency</t>
  </si>
  <si>
    <t xml:space="preserve">Timeouts &amp; cancellation</t>
  </si>
  <si>
    <t xml:space="preserve">Avoid hung calls</t>
  </si>
  <si>
    <t xml:space="preserve">async HTTP with httpx</t>
  </si>
  <si>
    <t xml:space="preserve">Non-blocking API calls</t>
  </si>
  <si>
    <t xml:space="preserve">GIL explained</t>
  </si>
  <si>
    <t xml:space="preserve">Why threads don't speed up CPU work</t>
  </si>
  <si>
    <t xml:space="preserve">threading</t>
  </si>
  <si>
    <t xml:space="preserve">I/O-bound work</t>
  </si>
  <si>
    <t xml:space="preserve">multiprocessing</t>
  </si>
  <si>
    <t xml:space="preserve">CPU-bound work</t>
  </si>
  <si>
    <t xml:space="preserve">ThreadPool / ProcessPool</t>
  </si>
  <si>
    <t xml:space="preserve">Executor patterns</t>
  </si>
  <si>
    <t xml:space="preserve">4. Web &amp; APIs</t>
  </si>
  <si>
    <t xml:space="preserve">requests vs httpx</t>
  </si>
  <si>
    <t xml:space="preserve">Sync and async clients</t>
  </si>
  <si>
    <t xml:space="preserve">Auth headers &amp; tokens</t>
  </si>
  <si>
    <t xml:space="preserve">Bearer, API keys, OAuth basics</t>
  </si>
  <si>
    <t xml:space="preserve">Retries &amp; backoff</t>
  </si>
  <si>
    <t xml:space="preserve">Handle 429/5xx (tenacity)</t>
  </si>
  <si>
    <t xml:space="preserve">Pagination &amp; streaming</t>
  </si>
  <si>
    <t xml:space="preserve">Large API results</t>
  </si>
  <si>
    <t xml:space="preserve">Routes &amp; path/query params</t>
  </si>
  <si>
    <t xml:space="preserve">Controllers equivalent</t>
  </si>
  <si>
    <t xml:space="preserve">Request/response models</t>
  </si>
  <si>
    <t xml:space="preserve">Pydantic-driven contracts</t>
  </si>
  <si>
    <t xml:space="preserve">Dependency injection</t>
  </si>
  <si>
    <t xml:space="preserve">Depends() like DI in .NET</t>
  </si>
  <si>
    <t xml:space="preserve">Middleware &amp; CORS</t>
  </si>
  <si>
    <t xml:space="preserve">Cross-cutting concerns</t>
  </si>
  <si>
    <t xml:space="preserve">Background tasks</t>
  </si>
  <si>
    <t xml:space="preserve">Fire-and-forget work</t>
  </si>
  <si>
    <t xml:space="preserve">Streaming (SSE)</t>
  </si>
  <si>
    <t xml:space="preserve">Stream LLM tokens to UI</t>
  </si>
  <si>
    <t xml:space="preserve">Auth (JWT / OAuth2)</t>
  </si>
  <si>
    <t xml:space="preserve">Secure endpoints</t>
  </si>
  <si>
    <t xml:space="preserve">Auto OpenAPI docs</t>
  </si>
  <si>
    <t xml:space="preserve">Swagger for free</t>
  </si>
  <si>
    <t xml:space="preserve">7. Quality &amp; Delivery</t>
  </si>
  <si>
    <t xml:space="preserve">pytest</t>
  </si>
  <si>
    <t xml:space="preserve">Unit tests, fixtures, parametrize</t>
  </si>
  <si>
    <t xml:space="preserve">Mocking LLM/API calls</t>
  </si>
  <si>
    <t xml:space="preserve">Deterministic tests</t>
  </si>
  <si>
    <t xml:space="preserve">Logging</t>
  </si>
  <si>
    <t xml:space="preserve">Structured logs, levels</t>
  </si>
  <si>
    <t xml:space="preserve">ruff / black</t>
  </si>
  <si>
    <t xml:space="preserve">Lint &amp; format</t>
  </si>
  <si>
    <t xml:space="preserve">pre-commit hooks</t>
  </si>
  <si>
    <t xml:space="preserve">Automated checks</t>
  </si>
  <si>
    <t xml:space="preserve">Dockerizing Python apps</t>
  </si>
  <si>
    <t xml:space="preserve">Slim images, multi-stage</t>
  </si>
  <si>
    <t xml:space="preserve">CI/CD in Azure DevOps</t>
  </si>
  <si>
    <t xml:space="preserve">Pipelines for Python</t>
  </si>
  <si>
    <t xml:space="preserve">Azure deploy options</t>
  </si>
  <si>
    <t xml:space="preserve">App Service, Container Apps, Functions</t>
  </si>
  <si>
    <t xml:space="preserve">Key Vault &amp; managed identity</t>
  </si>
  <si>
    <t xml:space="preserve">Secrets handling</t>
  </si>
  <si>
    <t xml:space="preserve">WebSockets</t>
  </si>
  <si>
    <t xml:space="preserve">Two-way real-time</t>
  </si>
  <si>
    <t xml:space="preserve">Webhooks</t>
  </si>
  <si>
    <t xml:space="preserve">Telegram/Slack-style callbacks</t>
  </si>
  <si>
    <t xml:space="preserve">Polars vs pandas</t>
  </si>
  <si>
    <t xml:space="preserve">Faster, lazy engine</t>
  </si>
  <si>
    <t xml:space="preserve">Lazy queries</t>
  </si>
  <si>
    <t xml:space="preserve">Optimized execution plans</t>
  </si>
  <si>
    <t xml:space="preserve">Redis basics</t>
  </si>
  <si>
    <t xml:space="preserve">Cache, queues, short-term memory</t>
  </si>
  <si>
    <t xml:space="preserve">Cosmos DB / MongoDB overview</t>
  </si>
  <si>
    <t xml:space="preserve">Document stores</t>
  </si>
  <si>
    <t xml:space="preserve">1. LLM Foundations</t>
  </si>
  <si>
    <t xml:space="preserve">What is GenAI</t>
  </si>
  <si>
    <t xml:space="preserve">Generative vs predictive AI</t>
  </si>
  <si>
    <t xml:space="preserve">Transformer &amp; attention intuition</t>
  </si>
  <si>
    <t xml:space="preserve">No heavy math, just the idea</t>
  </si>
  <si>
    <t xml:space="preserve">Tokens &amp; tokenization</t>
  </si>
  <si>
    <t xml:space="preserve">Cost and limits are token-based</t>
  </si>
  <si>
    <t xml:space="preserve">Context window</t>
  </si>
  <si>
    <t xml:space="preserve">Memory limit per call</t>
  </si>
  <si>
    <t xml:space="preserve">Sampling params</t>
  </si>
  <si>
    <t xml:space="preserve">Temperature, top-p, max tokens</t>
  </si>
  <si>
    <t xml:space="preserve">Training stages</t>
  </si>
  <si>
    <t xml:space="preserve">Pretrain, fine-tune, RLHF</t>
  </si>
  <si>
    <t xml:space="preserve">Model families</t>
  </si>
  <si>
    <t xml:space="preserve">Frontier, small, open-weight</t>
  </si>
  <si>
    <t xml:space="preserve">Reasoning vs standard models</t>
  </si>
  <si>
    <t xml:space="preserve">When thinking models help</t>
  </si>
  <si>
    <t xml:space="preserve">Multimodal models</t>
  </si>
  <si>
    <t xml:space="preserve">Text, image, audio</t>
  </si>
  <si>
    <t xml:space="preserve">Selection criteria</t>
  </si>
  <si>
    <t xml:space="preserve">Quality, cost, latency, privacy</t>
  </si>
  <si>
    <t xml:space="preserve">Hallucination &amp; limits</t>
  </si>
  <si>
    <t xml:space="preserve">Why LLMs are confidently wrong</t>
  </si>
  <si>
    <t xml:space="preserve">2. LLM API Usage</t>
  </si>
  <si>
    <t xml:space="preserve">Chat API anatomy</t>
  </si>
  <si>
    <t xml:space="preserve">System / user / assistant messages</t>
  </si>
  <si>
    <t xml:space="preserve">Streaming responses</t>
  </si>
  <si>
    <t xml:space="preserve">Token-by-token output</t>
  </si>
  <si>
    <t xml:space="preserve">Token counting &amp; cost</t>
  </si>
  <si>
    <t xml:space="preserve">Budget before you build</t>
  </si>
  <si>
    <t xml:space="preserve">Rate limits &amp; retries</t>
  </si>
  <si>
    <t xml:space="preserve">Handle 429s properly</t>
  </si>
  <si>
    <t xml:space="preserve">Official SDKs</t>
  </si>
  <si>
    <t xml:space="preserve">Anthropic, OpenAI, Azure OpenAI</t>
  </si>
  <si>
    <t xml:space="preserve">Batch API</t>
  </si>
  <si>
    <t xml:space="preserve">Cheaper bulk processing</t>
  </si>
  <si>
    <t xml:space="preserve">JSON / structured outputs</t>
  </si>
  <si>
    <t xml:space="preserve">Schema-guaranteed responses</t>
  </si>
  <si>
    <t xml:space="preserve">Function / tool calling</t>
  </si>
  <si>
    <t xml:space="preserve">LLM triggers your code</t>
  </si>
  <si>
    <t xml:space="preserve">Pydantic + LLM</t>
  </si>
  <si>
    <t xml:space="preserve">Typed outputs end-to-end</t>
  </si>
  <si>
    <t xml:space="preserve">Prompt caching</t>
  </si>
  <si>
    <t xml:space="preserve">Cut cost &amp; latency on repeated context</t>
  </si>
  <si>
    <t xml:space="preserve">Multimodal inputs</t>
  </si>
  <si>
    <t xml:space="preserve">Images and PDFs in prompts</t>
  </si>
  <si>
    <t xml:space="preserve">3. Prompt Engineering</t>
  </si>
  <si>
    <t xml:space="preserve">Clear instructions &amp; role</t>
  </si>
  <si>
    <t xml:space="preserve">System prompt design</t>
  </si>
  <si>
    <t xml:space="preserve">Few-shot examples</t>
  </si>
  <si>
    <t xml:space="preserve">Teach by example</t>
  </si>
  <si>
    <t xml:space="preserve">Chain-of-thought</t>
  </si>
  <si>
    <t xml:space="preserve">Step-by-step reasoning</t>
  </si>
  <si>
    <t xml:space="preserve">XML / delimiters</t>
  </si>
  <si>
    <t xml:space="preserve">Structure long prompts</t>
  </si>
  <si>
    <t xml:space="preserve">Output format control</t>
  </si>
  <si>
    <t xml:space="preserve">Tables, JSON, length</t>
  </si>
  <si>
    <t xml:space="preserve">Negative instructions</t>
  </si>
  <si>
    <t xml:space="preserve">What NOT to do</t>
  </si>
  <si>
    <t xml:space="preserve">Prompt templates</t>
  </si>
  <si>
    <t xml:space="preserve">Variables and reuse</t>
  </si>
  <si>
    <t xml:space="preserve">Prompt versioning</t>
  </si>
  <si>
    <t xml:space="preserve">Treat prompts like code</t>
  </si>
  <si>
    <t xml:space="preserve">Prompt testing</t>
  </si>
  <si>
    <t xml:space="preserve">Compare versions on a test set</t>
  </si>
  <si>
    <t xml:space="preserve">Prompt injection basics</t>
  </si>
  <si>
    <t xml:space="preserve">Why user input is untrusted</t>
  </si>
  <si>
    <t xml:space="preserve">4. Embeddings</t>
  </si>
  <si>
    <t xml:space="preserve">What is an embedding</t>
  </si>
  <si>
    <t xml:space="preserve">Meaning as a list of numbers</t>
  </si>
  <si>
    <t xml:space="preserve">Dimensions</t>
  </si>
  <si>
    <t xml:space="preserve">384 / 768 / 1536 etc. trade-offs</t>
  </si>
  <si>
    <t xml:space="preserve">Similarity metrics</t>
  </si>
  <si>
    <t xml:space="preserve">Cosine, dot product, Euclidean</t>
  </si>
  <si>
    <t xml:space="preserve">Semantic vs keyword search</t>
  </si>
  <si>
    <t xml:space="preserve">Why both matter</t>
  </si>
  <si>
    <t xml:space="preserve">Visualizing embeddings</t>
  </si>
  <si>
    <t xml:space="preserve">PCA/t-SNE intuition</t>
  </si>
  <si>
    <t xml:space="preserve">Choosing a model</t>
  </si>
  <si>
    <t xml:space="preserve">Quality, cost, language support</t>
  </si>
  <si>
    <t xml:space="preserve">Multilingual (Hindi + English)</t>
  </si>
  <si>
    <t xml:space="preserve">Mixed-language corpora</t>
  </si>
  <si>
    <t xml:space="preserve">Embedding cost &amp; batching</t>
  </si>
  <si>
    <t xml:space="preserve">Bulk embedding strategy</t>
  </si>
  <si>
    <t xml:space="preserve">Re-embedding on model change</t>
  </si>
  <si>
    <t xml:space="preserve">Migration cost</t>
  </si>
  <si>
    <t xml:space="preserve">5. Vector Databases</t>
  </si>
  <si>
    <t xml:space="preserve">What &amp; why</t>
  </si>
  <si>
    <t xml:space="preserve">Store and search embeddings at scale</t>
  </si>
  <si>
    <t xml:space="preserve">Why not a plain SQL table</t>
  </si>
  <si>
    <t xml:space="preserve">Exact match index vs nearest-neighbour index</t>
  </si>
  <si>
    <t xml:space="preserve">ANN algorithms</t>
  </si>
  <si>
    <t xml:space="preserve">HNSW, IVF, PQ intuition</t>
  </si>
  <si>
    <t xml:space="preserve">Recall vs speed trade-off</t>
  </si>
  <si>
    <t xml:space="preserve">Approximate search tuning</t>
  </si>
  <si>
    <t xml:space="preserve">Metadata filtering</t>
  </si>
  <si>
    <t xml:space="preserve">Filter + vector together</t>
  </si>
  <si>
    <t xml:space="preserve">Hybrid search (BM25 + vector)</t>
  </si>
  <si>
    <t xml:space="preserve">Best of keyword and semantic</t>
  </si>
  <si>
    <t xml:space="preserve">pgvector</t>
  </si>
  <si>
    <t xml:space="preserve">Vectors in Postgres</t>
  </si>
  <si>
    <t xml:space="preserve">Azure AI Search</t>
  </si>
  <si>
    <t xml:space="preserve">Managed enterprise option</t>
  </si>
  <si>
    <t xml:space="preserve">Qdrant / Chroma / FAISS</t>
  </si>
  <si>
    <t xml:space="preserve">Open-source options</t>
  </si>
  <si>
    <t xml:space="preserve">Pinecone &amp; managed services</t>
  </si>
  <si>
    <t xml:space="preserve">SaaS trade-offs</t>
  </si>
  <si>
    <t xml:space="preserve">Built-in vector in relational DBs</t>
  </si>
  <si>
    <t xml:space="preserve">Check current support for SQL Server etc.</t>
  </si>
  <si>
    <t xml:space="preserve">Selection matrix</t>
  </si>
  <si>
    <t xml:space="preserve">Cost, scale, ops, security</t>
  </si>
  <si>
    <t xml:space="preserve">Indexing &amp; updates</t>
  </si>
  <si>
    <t xml:space="preserve">Upserts, deletes, re-index</t>
  </si>
  <si>
    <t xml:space="preserve">Sizing &amp; cost</t>
  </si>
  <si>
    <t xml:space="preserve">Memory footprint per million vectors</t>
  </si>
  <si>
    <t xml:space="preserve">Multi-tenancy &amp; security</t>
  </si>
  <si>
    <t xml:space="preserve">Isolation, access control</t>
  </si>
  <si>
    <t xml:space="preserve">Backup &amp; DR</t>
  </si>
  <si>
    <t xml:space="preserve">Recovery strategy</t>
  </si>
  <si>
    <t xml:space="preserve">Structured questions</t>
  </si>
  <si>
    <t xml:space="preserve">Aggregates, filters -&gt; Parquet + DuckDB/SQL</t>
  </si>
  <si>
    <t xml:space="preserve">Semantic questions</t>
  </si>
  <si>
    <t xml:space="preserve">'Find similar' -&gt; Vector DB</t>
  </si>
  <si>
    <t xml:space="preserve">Hybrid architecture</t>
  </si>
  <si>
    <t xml:space="preserve">Both together</t>
  </si>
  <si>
    <t xml:space="preserve">Anti-patterns</t>
  </si>
  <si>
    <t xml:space="preserve">Vectorizing data that needs SQL</t>
  </si>
  <si>
    <t xml:space="preserve">6. RAG (Retrieval-Augmented Generation)</t>
  </si>
  <si>
    <t xml:space="preserve">Why RAG</t>
  </si>
  <si>
    <t xml:space="preserve">Fresh, private, grounded answers</t>
  </si>
  <si>
    <t xml:space="preserve">End-to-end pipeline</t>
  </si>
  <si>
    <t xml:space="preserve">Ingest -&gt; chunk -&gt; embed -&gt; retrieve -&gt; generate</t>
  </si>
  <si>
    <t xml:space="preserve">Naive vs advanced RAG</t>
  </si>
  <si>
    <t xml:space="preserve">Where simple RAG breaks</t>
  </si>
  <si>
    <t xml:space="preserve">RAG vs long context</t>
  </si>
  <si>
    <t xml:space="preserve">When to skip retrieval</t>
  </si>
  <si>
    <t xml:space="preserve">Document parsing</t>
  </si>
  <si>
    <t xml:space="preserve">PDF, DOCX, PPTX, HTML</t>
  </si>
  <si>
    <t xml:space="preserve">OCR &amp; layout</t>
  </si>
  <si>
    <t xml:space="preserve">Scanned docs, tables</t>
  </si>
  <si>
    <t xml:space="preserve">Chunking strategies</t>
  </si>
  <si>
    <t xml:space="preserve">Fixed, recursive, semantic, structural</t>
  </si>
  <si>
    <t xml:space="preserve">Chunk size &amp; overlap</t>
  </si>
  <si>
    <t xml:space="preserve">Tuning for accuracy</t>
  </si>
  <si>
    <t xml:space="preserve">Metadata enrichment</t>
  </si>
  <si>
    <t xml:space="preserve">Source, date, section, ACLs</t>
  </si>
  <si>
    <t xml:space="preserve">Incremental updates</t>
  </si>
  <si>
    <t xml:space="preserve">Handle changing documents</t>
  </si>
  <si>
    <t xml:space="preserve">Top-k tuning</t>
  </si>
  <si>
    <t xml:space="preserve">How many chunks to fetch</t>
  </si>
  <si>
    <t xml:space="preserve">Reranking</t>
  </si>
  <si>
    <t xml:space="preserve">Cross-encoder second pass</t>
  </si>
  <si>
    <t xml:space="preserve">Query rewriting</t>
  </si>
  <si>
    <t xml:space="preserve">Fix vague user queries</t>
  </si>
  <si>
    <t xml:space="preserve">HyDE / multi-query</t>
  </si>
  <si>
    <t xml:space="preserve">Better recall tricks</t>
  </si>
  <si>
    <t xml:space="preserve">Hybrid retrieval</t>
  </si>
  <si>
    <t xml:space="preserve">Keyword + vector fusion</t>
  </si>
  <si>
    <t xml:space="preserve">Context assembly</t>
  </si>
  <si>
    <t xml:space="preserve">Order and format retrieved chunks</t>
  </si>
  <si>
    <t xml:space="preserve">Grounded answers &amp; citations</t>
  </si>
  <si>
    <t xml:space="preserve">Source-backed output</t>
  </si>
  <si>
    <t xml:space="preserve">'I don't know' handling</t>
  </si>
  <si>
    <t xml:space="preserve">Reduce hallucination</t>
  </si>
  <si>
    <t xml:space="preserve">Conversation-aware RAG</t>
  </si>
  <si>
    <t xml:space="preserve">Follow-up questions</t>
  </si>
  <si>
    <t xml:space="preserve">GraphRAG</t>
  </si>
  <si>
    <t xml:space="preserve">Knowledge graph + retrieval</t>
  </si>
  <si>
    <t xml:space="preserve">Agentic RAG</t>
  </si>
  <si>
    <t xml:space="preserve">Agent decides what/when to retrieve</t>
  </si>
  <si>
    <t xml:space="preserve">Multi-hop questions</t>
  </si>
  <si>
    <t xml:space="preserve">Chain retrievals</t>
  </si>
  <si>
    <t xml:space="preserve">Document-level security</t>
  </si>
  <si>
    <t xml:space="preserve">Respect user permissions in retrieval</t>
  </si>
  <si>
    <t xml:space="preserve">RAG caching</t>
  </si>
  <si>
    <t xml:space="preserve">Semantic cache for repeated queries</t>
  </si>
  <si>
    <t xml:space="preserve">8. Evaluation</t>
  </si>
  <si>
    <t xml:space="preserve">Why evals matter</t>
  </si>
  <si>
    <t xml:space="preserve">You can't improve what you don't measure</t>
  </si>
  <si>
    <t xml:space="preserve">Golden dataset</t>
  </si>
  <si>
    <t xml:space="preserve">Build a reliable test set</t>
  </si>
  <si>
    <t xml:space="preserve">Offline vs online eval</t>
  </si>
  <si>
    <t xml:space="preserve">Pre-release vs production</t>
  </si>
  <si>
    <t xml:space="preserve">Human review loops</t>
  </si>
  <si>
    <t xml:space="preserve">Calibrating with SMEs</t>
  </si>
  <si>
    <t xml:space="preserve">Faithfulness</t>
  </si>
  <si>
    <t xml:space="preserve">Answer supported by context?</t>
  </si>
  <si>
    <t xml:space="preserve">Context precision/recall</t>
  </si>
  <si>
    <t xml:space="preserve">Did retrieval find the right chunks?</t>
  </si>
  <si>
    <t xml:space="preserve">Answer relevance</t>
  </si>
  <si>
    <t xml:space="preserve">Does it answer the question?</t>
  </si>
  <si>
    <t xml:space="preserve">LLM-as-judge</t>
  </si>
  <si>
    <t xml:space="preserve">Use and its biases</t>
  </si>
  <si>
    <t xml:space="preserve">Regression testing</t>
  </si>
  <si>
    <t xml:space="preserve">Catch quality drops on change</t>
  </si>
  <si>
    <t xml:space="preserve">Eval tools</t>
  </si>
  <si>
    <t xml:space="preserve">Ragas, promptfoo, Langfuse (verify current)</t>
  </si>
  <si>
    <t xml:space="preserve">7. LLMs over Structured Data</t>
  </si>
  <si>
    <t xml:space="preserve">How Text-to-SQL works</t>
  </si>
  <si>
    <t xml:space="preserve">Question -&gt; schema -&gt; SQL</t>
  </si>
  <si>
    <t xml:space="preserve">Schema linking &amp; descriptions</t>
  </si>
  <si>
    <t xml:space="preserve">Give LLM table/column meaning</t>
  </si>
  <si>
    <t xml:space="preserve">Semantic layer</t>
  </si>
  <si>
    <t xml:space="preserve">Business definitions for accuracy</t>
  </si>
  <si>
    <t xml:space="preserve">SQL safety</t>
  </si>
  <si>
    <t xml:space="preserve">Read-only, allow-lists, query limits</t>
  </si>
  <si>
    <t xml:space="preserve">Validation &amp; self-correction</t>
  </si>
  <si>
    <t xml:space="preserve">Run, check, retry</t>
  </si>
  <si>
    <t xml:space="preserve">Chat with CSV/Excel</t>
  </si>
  <si>
    <t xml:space="preserve">Common use case and pitfalls</t>
  </si>
  <si>
    <t xml:space="preserve">DuckDB + LLM</t>
  </si>
  <si>
    <t xml:space="preserve">SQL over Parquet/CSV with LLM</t>
  </si>
  <si>
    <t xml:space="preserve">Code-interpreter pattern</t>
  </si>
  <si>
    <t xml:space="preserve">LLM writes pandas, sandbox runs it</t>
  </si>
  <si>
    <t xml:space="preserve">Tabular RAG</t>
  </si>
  <si>
    <t xml:space="preserve">Retrieval for table-heavy docs</t>
  </si>
  <si>
    <t xml:space="preserve">9. Safety, Security &amp; Governance</t>
  </si>
  <si>
    <t xml:space="preserve">Prompt injection (direct)</t>
  </si>
  <si>
    <t xml:space="preserve">User tries to override rules</t>
  </si>
  <si>
    <t xml:space="preserve">Indirect injection</t>
  </si>
  <si>
    <t xml:space="preserve">Malicious content in documents/web</t>
  </si>
  <si>
    <t xml:space="preserve">Data leakage</t>
  </si>
  <si>
    <t xml:space="preserve">Cross-user or cross-tenant exposure</t>
  </si>
  <si>
    <t xml:space="preserve">OWASP LLM Top 10</t>
  </si>
  <si>
    <t xml:space="preserve">Standard threat list</t>
  </si>
  <si>
    <t xml:space="preserve">Jailbreaks</t>
  </si>
  <si>
    <t xml:space="preserve">Bypassing safeguards</t>
  </si>
  <si>
    <t xml:space="preserve">PII detection &amp; redaction</t>
  </si>
  <si>
    <t xml:space="preserve">Anonymize before sending</t>
  </si>
  <si>
    <t xml:space="preserve">Guardrails</t>
  </si>
  <si>
    <t xml:space="preserve">Input/output filters</t>
  </si>
  <si>
    <t xml:space="preserve">Content safety services</t>
  </si>
  <si>
    <t xml:space="preserve">Managed moderation</t>
  </si>
  <si>
    <t xml:space="preserve">Audit logging</t>
  </si>
  <si>
    <t xml:space="preserve">Who asked what, what was returned</t>
  </si>
  <si>
    <t xml:space="preserve">Data residency &amp; compliance</t>
  </si>
  <si>
    <t xml:space="preserve">Client contract constraints</t>
  </si>
  <si>
    <t xml:space="preserve">10. LLMOps &amp; Production</t>
  </si>
  <si>
    <t xml:space="preserve">Tracing LLM calls</t>
  </si>
  <si>
    <t xml:space="preserve">Inputs, outputs, latency, tokens</t>
  </si>
  <si>
    <t xml:space="preserve">Cost dashboards</t>
  </si>
  <si>
    <t xml:space="preserve">Per user/feature spend</t>
  </si>
  <si>
    <t xml:space="preserve">Quality monitoring</t>
  </si>
  <si>
    <t xml:space="preserve">Drift and feedback loops</t>
  </si>
  <si>
    <t xml:space="preserve">Tools overview</t>
  </si>
  <si>
    <t xml:space="preserve">Langfuse, LangSmith, Azure Monitor (verify)</t>
  </si>
  <si>
    <t xml:space="preserve">Caching layers</t>
  </si>
  <si>
    <t xml:space="preserve">Prompt, response, semantic caches</t>
  </si>
  <si>
    <t xml:space="preserve">Model routing</t>
  </si>
  <si>
    <t xml:space="preserve">Cheap model first, strong model when needed</t>
  </si>
  <si>
    <t xml:space="preserve">Latency optimization</t>
  </si>
  <si>
    <t xml:space="preserve">Streaming, parallelism, smaller context</t>
  </si>
  <si>
    <t xml:space="preserve">Fallbacks &amp; failover</t>
  </si>
  <si>
    <t xml:space="preserve">Multi-provider resilience</t>
  </si>
  <si>
    <t xml:space="preserve">Quotas &amp; throughput planning</t>
  </si>
  <si>
    <t xml:space="preserve">PTU vs pay-as-you-go (verify)</t>
  </si>
  <si>
    <t xml:space="preserve">API gateway for LLMs</t>
  </si>
  <si>
    <t xml:space="preserve">APIM as AI gateway</t>
  </si>
  <si>
    <t xml:space="preserve">Environments &amp; promotion</t>
  </si>
  <si>
    <t xml:space="preserve">Dev -&gt; UAT -&gt; Prod for prompts/models</t>
  </si>
  <si>
    <t xml:space="preserve">Model/version pinning</t>
  </si>
  <si>
    <t xml:space="preserve">Avoid surprise behavior changes</t>
  </si>
  <si>
    <t xml:space="preserve">Feature flags &amp; rollout</t>
  </si>
  <si>
    <t xml:space="preserve">Safe launches</t>
  </si>
  <si>
    <t xml:space="preserve">13. Azure / Enterprise Stack</t>
  </si>
  <si>
    <t xml:space="preserve">Azure OpenAI / Foundry</t>
  </si>
  <si>
    <t xml:space="preserve">Enterprise model hosting</t>
  </si>
  <si>
    <t xml:space="preserve">Vector + hybrid + semantic ranking</t>
  </si>
  <si>
    <t xml:space="preserve">Document Intelligence</t>
  </si>
  <si>
    <t xml:space="preserve">Structured extraction from docs</t>
  </si>
  <si>
    <t xml:space="preserve">Content Safety</t>
  </si>
  <si>
    <t xml:space="preserve">Moderation APIs</t>
  </si>
  <si>
    <t xml:space="preserve">Managed identity &amp; private endpoints</t>
  </si>
  <si>
    <t xml:space="preserve">Secure networking</t>
  </si>
  <si>
    <t xml:space="preserve">Microsoft Copilot ecosystem</t>
  </si>
  <si>
    <t xml:space="preserve">Copilot Studio and M365 Copilot overview</t>
  </si>
  <si>
    <t xml:space="preserve">14. GenAI Solution Architecture</t>
  </si>
  <si>
    <t xml:space="preserve">Use-case selection &amp; ROI</t>
  </si>
  <si>
    <t xml:space="preserve">Where GenAI actually pays off</t>
  </si>
  <si>
    <t xml:space="preserve">Reference architectures</t>
  </si>
  <si>
    <t xml:space="preserve">RAG, chat, doc-processing, copilots</t>
  </si>
  <si>
    <t xml:space="preserve">Build vs buy</t>
  </si>
  <si>
    <t xml:space="preserve">Platform vs custom decision</t>
  </si>
  <si>
    <t xml:space="preserve">NFRs for GenAI</t>
  </si>
  <si>
    <t xml:space="preserve">Latency, accuracy, cost, security SLAs</t>
  </si>
  <si>
    <t xml:space="preserve">Cost estimation model</t>
  </si>
  <si>
    <t xml:space="preserve">Tokens x volume + infra</t>
  </si>
  <si>
    <t xml:space="preserve">POC to production path</t>
  </si>
  <si>
    <t xml:space="preserve">Gates and exit criteria</t>
  </si>
  <si>
    <t xml:space="preserve">Risk register</t>
  </si>
  <si>
    <t xml:space="preserve">Hallucination, leakage, vendor lock-in</t>
  </si>
  <si>
    <t xml:space="preserve">Client communication</t>
  </si>
  <si>
    <t xml:space="preserve">Explaining limits to stakeholders</t>
  </si>
  <si>
    <t xml:space="preserve">11. Customization</t>
  </si>
  <si>
    <t xml:space="preserve">Decision framework</t>
  </si>
  <si>
    <t xml:space="preserve">Which lever for which problem</t>
  </si>
  <si>
    <t xml:space="preserve">Fine-tuning basics</t>
  </si>
  <si>
    <t xml:space="preserve">SFT, LoRA, PEFT</t>
  </si>
  <si>
    <t xml:space="preserve">Distillation</t>
  </si>
  <si>
    <t xml:space="preserve">Big model teaches small model</t>
  </si>
  <si>
    <t xml:space="preserve">Local / open models</t>
  </si>
  <si>
    <t xml:space="preserve">Ollama, vLLM overview</t>
  </si>
  <si>
    <t xml:space="preserve">12. Multimodal &amp; Voice</t>
  </si>
  <si>
    <t xml:space="preserve">Vision &amp; OCR</t>
  </si>
  <si>
    <t xml:space="preserve">Image understanding, document parsing</t>
  </si>
  <si>
    <t xml:space="preserve">Speech-to-text / text-to-speech</t>
  </si>
  <si>
    <t xml:space="preserve">Voice interfaces</t>
  </si>
  <si>
    <t xml:space="preserve">Realtime voice agents</t>
  </si>
  <si>
    <t xml:space="preserve">Low-latency conversation</t>
  </si>
  <si>
    <t xml:space="preserve">Image generation basics</t>
  </si>
  <si>
    <t xml:space="preserve">Use cases and limits</t>
  </si>
  <si>
    <t xml:space="preserve">1. Agent Foundations</t>
  </si>
  <si>
    <t xml:space="preserve">Chatbot vs workflow vs agent</t>
  </si>
  <si>
    <t xml:space="preserve">Autonomy spectrum</t>
  </si>
  <si>
    <t xml:space="preserve">Agent loop</t>
  </si>
  <si>
    <t xml:space="preserve">Think -&gt; act -&gt; observe -&gt; repeat</t>
  </si>
  <si>
    <t xml:space="preserve">Anatomy</t>
  </si>
  <si>
    <t xml:space="preserve">Model, instructions, tools, memory</t>
  </si>
  <si>
    <t xml:space="preserve">When NOT to use agents</t>
  </si>
  <si>
    <t xml:space="preserve">Workflow is often better</t>
  </si>
  <si>
    <t xml:space="preserve">Single vs multi-agent</t>
  </si>
  <si>
    <t xml:space="preserve">Start simple</t>
  </si>
  <si>
    <t xml:space="preserve">2. Tool Use</t>
  </si>
  <si>
    <t xml:space="preserve">Tool schema &amp; descriptions</t>
  </si>
  <si>
    <t xml:space="preserve">Descriptions drive tool selection</t>
  </si>
  <si>
    <t xml:space="preserve">Input validation</t>
  </si>
  <si>
    <t xml:space="preserve">Never trust LLM-generated args</t>
  </si>
  <si>
    <t xml:space="preserve">Error messages the LLM can fix</t>
  </si>
  <si>
    <t xml:space="preserve">Actionable failures</t>
  </si>
  <si>
    <t xml:space="preserve">Idempotency</t>
  </si>
  <si>
    <t xml:space="preserve">Safe retries</t>
  </si>
  <si>
    <t xml:space="preserve">Parallel tool calls</t>
  </si>
  <si>
    <t xml:space="preserve">Speed up independent actions</t>
  </si>
  <si>
    <t xml:space="preserve">Too many tools problem</t>
  </si>
  <si>
    <t xml:space="preserve">Tool selection and grouping</t>
  </si>
  <si>
    <t xml:space="preserve">Code execution sandbox</t>
  </si>
  <si>
    <t xml:space="preserve">Run generated code safely</t>
  </si>
  <si>
    <t xml:space="preserve">Web search &amp; fetch tools</t>
  </si>
  <si>
    <t xml:space="preserve">Live information</t>
  </si>
  <si>
    <t xml:space="preserve">Computer / browser use</t>
  </si>
  <si>
    <t xml:space="preserve">UI-level automation</t>
  </si>
  <si>
    <t xml:space="preserve">File system tools</t>
  </si>
  <si>
    <t xml:space="preserve">Read/write with guardrails</t>
  </si>
  <si>
    <t xml:space="preserve">3. MCP (Model Context Protocol)</t>
  </si>
  <si>
    <t xml:space="preserve">Open standard connecting AI apps to tools/data</t>
  </si>
  <si>
    <t xml:space="preserve">Host, client, server</t>
  </si>
  <si>
    <t xml:space="preserve">Three roles explained</t>
  </si>
  <si>
    <t xml:space="preserve">Primitives</t>
  </si>
  <si>
    <t xml:space="preserve">Tools, resources, prompts</t>
  </si>
  <si>
    <t xml:space="preserve">Transports</t>
  </si>
  <si>
    <t xml:space="preserve">stdio vs remote HTTP</t>
  </si>
  <si>
    <t xml:space="preserve">MCP vs plain function calling</t>
  </si>
  <si>
    <t xml:space="preserve">What the protocol adds</t>
  </si>
  <si>
    <t xml:space="preserve">Versioned specs</t>
  </si>
  <si>
    <t xml:space="preserve">Date-based revisions</t>
  </si>
  <si>
    <t xml:space="preserve">2026-07-28 stateless core</t>
  </si>
  <si>
    <t xml:space="preserve">Major change, every request self-contained</t>
  </si>
  <si>
    <t xml:space="preserve">Deprecated features</t>
  </si>
  <si>
    <t xml:space="preserve">Roots, sampling, logging (verify details)</t>
  </si>
  <si>
    <t xml:space="preserve">Extensions: Apps &amp; Tasks</t>
  </si>
  <si>
    <t xml:space="preserve">Newer capabilities</t>
  </si>
  <si>
    <t xml:space="preserve">Authorization (OAuth)</t>
  </si>
  <si>
    <t xml:space="preserve">Hardened auth model</t>
  </si>
  <si>
    <t xml:space="preserve">Filesystem / DB / GitHub servers</t>
  </si>
  <si>
    <t xml:space="preserve">Popular reference servers</t>
  </si>
  <si>
    <t xml:space="preserve">Connecting from Claude &amp; other hosts</t>
  </si>
  <si>
    <t xml:space="preserve">Config and permissions</t>
  </si>
  <si>
    <t xml:space="preserve">Choosing trustworthy servers</t>
  </si>
  <si>
    <t xml:space="preserve">Supply-chain risk</t>
  </si>
  <si>
    <t xml:space="preserve">MCP gateways</t>
  </si>
  <si>
    <t xml:space="preserve">Central control in enterprises</t>
  </si>
  <si>
    <t xml:space="preserve">Tool poisoning</t>
  </si>
  <si>
    <t xml:space="preserve">Malicious tool descriptions</t>
  </si>
  <si>
    <t xml:space="preserve">Over-permissioned servers</t>
  </si>
  <si>
    <t xml:space="preserve">Least privilege</t>
  </si>
  <si>
    <t xml:space="preserve">Token handling</t>
  </si>
  <si>
    <t xml:space="preserve">Avoid credential leaks</t>
  </si>
  <si>
    <t xml:space="preserve">Official security guidance</t>
  </si>
  <si>
    <t xml:space="preserve">Gov/industry advisories (verify latest)</t>
  </si>
  <si>
    <t xml:space="preserve">4. Building Your Own MCP Server</t>
  </si>
  <si>
    <t xml:space="preserve">Python SDK / FastMCP</t>
  </si>
  <si>
    <t xml:space="preserve">Quickest way to a server</t>
  </si>
  <si>
    <t xml:space="preserve">C# SDK</t>
  </si>
  <si>
    <t xml:space="preserve">Build in your native stack</t>
  </si>
  <si>
    <t xml:space="preserve">Define tools with schemas</t>
  </si>
  <si>
    <t xml:space="preserve">Typed inputs/outputs</t>
  </si>
  <si>
    <t xml:space="preserve">Expose resources</t>
  </si>
  <si>
    <t xml:space="preserve">Files, tables, docs as context</t>
  </si>
  <si>
    <t xml:space="preserve">Testing with MCP Inspector</t>
  </si>
  <si>
    <t xml:space="preserve">Debug interactively</t>
  </si>
  <si>
    <t xml:space="preserve">Remote deployment on Azure</t>
  </si>
  <si>
    <t xml:space="preserve">HTTP transport, auth</t>
  </si>
  <si>
    <t xml:space="preserve">Logging &amp; observability</t>
  </si>
  <si>
    <t xml:space="preserve">Trace tool calls</t>
  </si>
  <si>
    <t xml:space="preserve">Versioning &amp; compatibility</t>
  </si>
  <si>
    <t xml:space="preserve">Handle spec changes</t>
  </si>
  <si>
    <t xml:space="preserve">List/read workbooks &amp; sheets</t>
  </si>
  <si>
    <t xml:space="preserve">Basic tools</t>
  </si>
  <si>
    <t xml:space="preserve">Read cell ranges &amp; tables</t>
  </si>
  <si>
    <t xml:space="preserve">Structured extraction</t>
  </si>
  <si>
    <t xml:space="preserve">Safe write tools</t>
  </si>
  <si>
    <t xml:space="preserve">Backup, dry-run, diff</t>
  </si>
  <si>
    <t xml:space="preserve">Batch update across files</t>
  </si>
  <si>
    <t xml:space="preserve">Apply one change to many</t>
  </si>
  <si>
    <t xml:space="preserve">Audit trail</t>
  </si>
  <si>
    <t xml:space="preserve">Log every edit</t>
  </si>
  <si>
    <t xml:space="preserve">Permissions &amp; folder scope</t>
  </si>
  <si>
    <t xml:space="preserve">Restrict accessible paths</t>
  </si>
  <si>
    <t xml:space="preserve">5. Planning &amp; Reasoning Patterns</t>
  </si>
  <si>
    <t xml:space="preserve">Prompt chaining</t>
  </si>
  <si>
    <t xml:space="preserve">Sequential steps</t>
  </si>
  <si>
    <t xml:space="preserve">Routing</t>
  </si>
  <si>
    <t xml:space="preserve">Send to right handler</t>
  </si>
  <si>
    <t xml:space="preserve">Parallelization</t>
  </si>
  <si>
    <t xml:space="preserve">Run steps concurrently</t>
  </si>
  <si>
    <t xml:space="preserve">Orchestrator-workers</t>
  </si>
  <si>
    <t xml:space="preserve">Dynamic task splitting</t>
  </si>
  <si>
    <t xml:space="preserve">Evaluator-optimizer</t>
  </si>
  <si>
    <t xml:space="preserve">Generate, critique, refine</t>
  </si>
  <si>
    <t xml:space="preserve">ReAct</t>
  </si>
  <si>
    <t xml:space="preserve">Reason + act interleaved</t>
  </si>
  <si>
    <t xml:space="preserve">Plan-and-execute</t>
  </si>
  <si>
    <t xml:space="preserve">Plan first, then run</t>
  </si>
  <si>
    <t xml:space="preserve">Reflection / self-critique</t>
  </si>
  <si>
    <t xml:space="preserve">Improve own output</t>
  </si>
  <si>
    <t xml:space="preserve">Task decomposition</t>
  </si>
  <si>
    <t xml:space="preserve">Break big goals down</t>
  </si>
  <si>
    <t xml:space="preserve">6. Memory &amp; Context Engineering</t>
  </si>
  <si>
    <t xml:space="preserve">Short-term (context)</t>
  </si>
  <si>
    <t xml:space="preserve">Conversation window management</t>
  </si>
  <si>
    <t xml:space="preserve">Long-term memory</t>
  </si>
  <si>
    <t xml:space="preserve">Persisted facts across sessions</t>
  </si>
  <si>
    <t xml:space="preserve">Episodic vs semantic memory</t>
  </si>
  <si>
    <t xml:space="preserve">What happened vs what's known</t>
  </si>
  <si>
    <t xml:space="preserve">Scratchpad / working files</t>
  </si>
  <si>
    <t xml:space="preserve">Offload state to files</t>
  </si>
  <si>
    <t xml:space="preserve">Context compaction</t>
  </si>
  <si>
    <t xml:space="preserve">Summarize old turns</t>
  </si>
  <si>
    <t xml:space="preserve">Selective retrieval of memory</t>
  </si>
  <si>
    <t xml:space="preserve">Only load what's needed</t>
  </si>
  <si>
    <t xml:space="preserve">Context budget planning</t>
  </si>
  <si>
    <t xml:space="preserve">Token allocation</t>
  </si>
  <si>
    <t xml:space="preserve">Memory safety</t>
  </si>
  <si>
    <t xml:space="preserve">What NOT to store (PII, secrets)</t>
  </si>
  <si>
    <t xml:space="preserve">7. Multi-Agent Systems</t>
  </si>
  <si>
    <t xml:space="preserve">Supervisor pattern</t>
  </si>
  <si>
    <t xml:space="preserve">One manager, many workers</t>
  </si>
  <si>
    <t xml:space="preserve">Handoffs</t>
  </si>
  <si>
    <t xml:space="preserve">Transfer between agents</t>
  </si>
  <si>
    <t xml:space="preserve">Shared state &amp; blackboard</t>
  </si>
  <si>
    <t xml:space="preserve">Common workspace</t>
  </si>
  <si>
    <t xml:space="preserve">When multi-agent hurts</t>
  </si>
  <si>
    <t xml:space="preserve">Cost, latency, debugging</t>
  </si>
  <si>
    <t xml:space="preserve">A2A protocol</t>
  </si>
  <si>
    <t xml:space="preserve">Agent-to-agent interoperability (verify status)</t>
  </si>
  <si>
    <t xml:space="preserve">8. Frameworks &amp; SDKs</t>
  </si>
  <si>
    <t xml:space="preserve">LangGraph</t>
  </si>
  <si>
    <t xml:space="preserve">State graphs, checkpoints, interrupts</t>
  </si>
  <si>
    <t xml:space="preserve">Microsoft Agent Framework</t>
  </si>
  <si>
    <t xml:space="preserve">AutoGen + Semantic Kernel successor, C#/Python (verify maturity)</t>
  </si>
  <si>
    <t xml:space="preserve">Semantic Kernel status</t>
  </si>
  <si>
    <t xml:space="preserve">Maintenance mode, migration path</t>
  </si>
  <si>
    <t xml:space="preserve">CrewAI &amp; OpenAI Agents SDK</t>
  </si>
  <si>
    <t xml:space="preserve">Alternatives overview</t>
  </si>
  <si>
    <t xml:space="preserve">Claude Agent SDK</t>
  </si>
  <si>
    <t xml:space="preserve">Anthropic's agent toolkit</t>
  </si>
  <si>
    <t xml:space="preserve">No-framework approach</t>
  </si>
  <si>
    <t xml:space="preserve">Plain loop with tools</t>
  </si>
  <si>
    <t xml:space="preserve">Control, ecosystem, language, maturity</t>
  </si>
  <si>
    <t xml:space="preserve">Lock-in &amp; portability</t>
  </si>
  <si>
    <t xml:space="preserve">Switching cost</t>
  </si>
  <si>
    <t xml:space="preserve">Hands-on bake-off</t>
  </si>
  <si>
    <t xml:space="preserve">Same task in 2 frameworks</t>
  </si>
  <si>
    <t xml:space="preserve">9. Human-in-the-Loop &amp; Governance</t>
  </si>
  <si>
    <t xml:space="preserve">Approval gates</t>
  </si>
  <si>
    <t xml:space="preserve">Confirm risky actions</t>
  </si>
  <si>
    <t xml:space="preserve">Autonomy levels</t>
  </si>
  <si>
    <t xml:space="preserve">Suggest, ask, act</t>
  </si>
  <si>
    <t xml:space="preserve">Escalation paths</t>
  </si>
  <si>
    <t xml:space="preserve">Hand over to humans</t>
  </si>
  <si>
    <t xml:space="preserve">Kill switch &amp; rollback</t>
  </si>
  <si>
    <t xml:space="preserve">Stop and undo</t>
  </si>
  <si>
    <t xml:space="preserve">Audit &amp; compliance</t>
  </si>
  <si>
    <t xml:space="preserve">Traceability for clients</t>
  </si>
  <si>
    <t xml:space="preserve">10. Evaluating Agents</t>
  </si>
  <si>
    <t xml:space="preserve">Task success rate</t>
  </si>
  <si>
    <t xml:space="preserve">End-to-end correctness</t>
  </si>
  <si>
    <t xml:space="preserve">Trajectory evaluation</t>
  </si>
  <si>
    <t xml:space="preserve">Were the steps sensible?</t>
  </si>
  <si>
    <t xml:space="preserve">Tool-call accuracy</t>
  </si>
  <si>
    <t xml:space="preserve">Right tool, right args</t>
  </si>
  <si>
    <t xml:space="preserve">Simulated environments</t>
  </si>
  <si>
    <t xml:space="preserve">Safe test sandboxes</t>
  </si>
  <si>
    <t xml:space="preserve">Cost &amp; latency per task</t>
  </si>
  <si>
    <t xml:space="preserve">Efficiency metrics</t>
  </si>
  <si>
    <t xml:space="preserve">Regression suites</t>
  </si>
  <si>
    <t xml:space="preserve">Prevent behavior drift</t>
  </si>
  <si>
    <t xml:space="preserve">11. Reliability &amp; Production</t>
  </si>
  <si>
    <t xml:space="preserve">Loop limits &amp; timeouts</t>
  </si>
  <si>
    <t xml:space="preserve">Prevent runaway agents</t>
  </si>
  <si>
    <t xml:space="preserve">Retries &amp; idempotency</t>
  </si>
  <si>
    <t xml:space="preserve">Safe recovery</t>
  </si>
  <si>
    <t xml:space="preserve">Durable execution</t>
  </si>
  <si>
    <t xml:space="preserve">Long-running workflows (Durable Functions/Temporal)</t>
  </si>
  <si>
    <t xml:space="preserve">Queues &amp; async jobs</t>
  </si>
  <si>
    <t xml:space="preserve">Decouple agent runs</t>
  </si>
  <si>
    <t xml:space="preserve">Concurrency &amp; file locking</t>
  </si>
  <si>
    <t xml:space="preserve">Multiple agents editing same file</t>
  </si>
  <si>
    <t xml:space="preserve">Cost caps &amp; budgets</t>
  </si>
  <si>
    <t xml:space="preserve">Token/spend limits</t>
  </si>
  <si>
    <t xml:space="preserve">Failure mode catalogue</t>
  </si>
  <si>
    <t xml:space="preserve">Typical breakages and fixes</t>
  </si>
  <si>
    <t xml:space="preserve">12. Agent Security</t>
  </si>
  <si>
    <t xml:space="preserve">Indirect prompt injection via tools</t>
  </si>
  <si>
    <t xml:space="preserve">Poisoned content steers agent</t>
  </si>
  <si>
    <t xml:space="preserve">Confused deputy</t>
  </si>
  <si>
    <t xml:space="preserve">Agent misusing its privileges</t>
  </si>
  <si>
    <t xml:space="preserve">Data exfiltration paths</t>
  </si>
  <si>
    <t xml:space="preserve">Leaking via tool calls</t>
  </si>
  <si>
    <t xml:space="preserve">Sandboxing</t>
  </si>
  <si>
    <t xml:space="preserve">Contain code/file actions</t>
  </si>
  <si>
    <t xml:space="preserve">Agent identity &amp; secrets</t>
  </si>
  <si>
    <t xml:space="preserve">Scoped credentials</t>
  </si>
  <si>
    <t xml:space="preserve">13. Hands-on Projects</t>
  </si>
  <si>
    <t xml:space="preserve">Parse SOP into structured steps</t>
  </si>
  <si>
    <t xml:space="preserve">LLM extracts rules</t>
  </si>
  <si>
    <t xml:space="preserve">Map rules to Excel changes</t>
  </si>
  <si>
    <t xml:space="preserve">Plan before editing</t>
  </si>
  <si>
    <t xml:space="preserve">Execute via Excel MCP</t>
  </si>
  <si>
    <t xml:space="preserve">Tool-driven edits</t>
  </si>
  <si>
    <t xml:space="preserve">Verify &amp; diff results</t>
  </si>
  <si>
    <t xml:space="preserve">Check before commit</t>
  </si>
  <si>
    <t xml:space="preserve">Human approval &amp; rollback</t>
  </si>
  <si>
    <t xml:space="preserve">Governance built in</t>
  </si>
  <si>
    <t xml:space="preserve">CSV -&gt; Parquet pipeline</t>
  </si>
  <si>
    <t xml:space="preserve">Ingestion</t>
  </si>
  <si>
    <t xml:space="preserve">DuckDB SQL tool</t>
  </si>
  <si>
    <t xml:space="preserve">Query via agent</t>
  </si>
  <si>
    <t xml:space="preserve">Charts &amp; summaries</t>
  </si>
  <si>
    <t xml:space="preserve">Present findings</t>
  </si>
  <si>
    <t xml:space="preserve">Guardrails on SQL</t>
  </si>
  <si>
    <t xml:space="preserve">Read-only enforcement</t>
  </si>
  <si>
    <t xml:space="preserve">Extract fields from PDFs</t>
  </si>
  <si>
    <t xml:space="preserve">Validation &amp; exception queue</t>
  </si>
  <si>
    <t xml:space="preserve">Human review for low confidence</t>
  </si>
  <si>
    <t xml:space="preserve">Write results to systems</t>
  </si>
  <si>
    <t xml:space="preserve">Integration step</t>
  </si>
  <si>
    <t xml:space="preserve">Telegram/Slack bot agent</t>
  </si>
  <si>
    <t xml:space="preserve">Chat-based interface</t>
  </si>
  <si>
    <t xml:space="preserve">Tools &amp; memory</t>
  </si>
  <si>
    <t xml:space="preserve">Personalization</t>
  </si>
  <si>
    <t xml:space="preserve">Deploy &amp; monitor</t>
  </si>
  <si>
    <t xml:space="preserve">Production basics</t>
  </si>
  <si>
    <t xml:space="preserve">14. Agentic Solution Architecture</t>
  </si>
  <si>
    <t xml:space="preserve">Reference architecture</t>
  </si>
  <si>
    <t xml:space="preserve">Gateway, orchestrator, tools, memory, observability</t>
  </si>
  <si>
    <t xml:space="preserve">Agent platform design</t>
  </si>
  <si>
    <t xml:space="preserve">Shared services across teams</t>
  </si>
  <si>
    <t xml:space="preserve">Multi-tenant concerns</t>
  </si>
  <si>
    <t xml:space="preserve">Isolation, quotas</t>
  </si>
  <si>
    <t xml:space="preserve">Cost model</t>
  </si>
  <si>
    <t xml:space="preserve">Per-task cost estimation</t>
  </si>
  <si>
    <t xml:space="preserve">Adoption roadmap</t>
  </si>
  <si>
    <t xml:space="preserve">Pilot -&gt; scale</t>
  </si>
  <si>
    <t xml:space="preserve">Risk &amp; compliance matrix</t>
  </si>
  <si>
    <t xml:space="preserve">For enterprise clients</t>
  </si>
  <si>
    <t xml:space="preserve">Build vs buy vs configure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</si>
</sst>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f aca="false">COUNTA(Python!F2:F121)</f>
        <v>120</v>
      </c>
      <c r="C5" s="5" t="n">
        <f aca="false">COUNTIF(Python!I2:I121,"Done")</f>
        <v>0</v>
      </c>
      <c r="D5" s="5" t="n">
        <f aca="false">COUNTIF(Python!I2:I121,"In Progress")</f>
        <v>0</v>
      </c>
      <c r="E5" s="5" t="n">
        <f aca="false">COUNTIF(Python!I2:I121,"Not Started")</f>
        <v>120</v>
      </c>
      <c r="F5" s="6" t="n">
        <f aca="false">IF(B5=0,0,C5/B5)</f>
        <v>0</v>
      </c>
      <c r="G5" s="5" t="n">
        <f aca="false">COUNTIF(Python!H2:H121,"P1")</f>
        <v>105</v>
      </c>
      <c r="H5" s="5" t="n">
        <f aca="false">COUNTIFS(Python!H2:H121,"P1",Python!I2:I121,"Done")</f>
        <v>0</v>
      </c>
      <c r="I5" s="5" t="n">
        <f aca="false">COUNTIF(Python!J2:J121,"Script Ready")+COUNTIF(Python!J2:J121,"Reel Made")+COUNTIF(Python!J2:J121,"Watched")</f>
        <v>0</v>
      </c>
    </row>
    <row r="6" customFormat="false" ht="15" hidden="false" customHeight="false" outlineLevel="0" collapsed="false">
      <c r="A6" s="4" t="s">
        <v>12</v>
      </c>
      <c r="B6" s="5" t="n">
        <f aca="false">COUNTA(GenAI!F2:F150)</f>
        <v>149</v>
      </c>
      <c r="C6" s="5" t="n">
        <f aca="false">COUNTIF(GenAI!I2:I150,"Done")</f>
        <v>0</v>
      </c>
      <c r="D6" s="5" t="n">
        <f aca="false">COUNTIF(GenAI!I2:I150,"In Progress")</f>
        <v>0</v>
      </c>
      <c r="E6" s="5" t="n">
        <f aca="false">COUNTIF(GenAI!I2:I150,"Not Started")</f>
        <v>149</v>
      </c>
      <c r="F6" s="6" t="n">
        <f aca="false">IF(B6=0,0,C6/B6)</f>
        <v>0</v>
      </c>
      <c r="G6" s="5" t="n">
        <f aca="false">COUNTIF(GenAI!H2:H150,"P1")</f>
        <v>124</v>
      </c>
      <c r="H6" s="5" t="n">
        <f aca="false">COUNTIFS(GenAI!H2:H150,"P1",GenAI!I2:I150,"Done")</f>
        <v>0</v>
      </c>
      <c r="I6" s="5" t="n">
        <f aca="false">COUNTIF(GenAI!J2:J150,"Script Ready")+COUNTIF(GenAI!J2:J150,"Reel Made")+COUNTIF(GenAI!J2:J150,"Watched")</f>
        <v>0</v>
      </c>
    </row>
    <row r="7" customFormat="false" ht="15" hidden="false" customHeight="false" outlineLevel="0" collapsed="false">
      <c r="A7" s="4" t="s">
        <v>13</v>
      </c>
      <c r="B7" s="5" t="n">
        <f aca="false">COUNTA('Agentic AI'!F2:F124)</f>
        <v>123</v>
      </c>
      <c r="C7" s="5" t="n">
        <f aca="false">COUNTIF('Agentic AI'!I2:I124,"Done")</f>
        <v>0</v>
      </c>
      <c r="D7" s="5" t="n">
        <f aca="false">COUNTIF('Agentic AI'!I2:I124,"In Progress")</f>
        <v>0</v>
      </c>
      <c r="E7" s="5" t="n">
        <f aca="false">COUNTIF('Agentic AI'!I2:I124,"Not Started")</f>
        <v>123</v>
      </c>
      <c r="F7" s="6" t="n">
        <f aca="false">IF(B7=0,0,C7/B7)</f>
        <v>0</v>
      </c>
      <c r="G7" s="5" t="n">
        <f aca="false">COUNTIF('Agentic AI'!H2:H124,"P1")</f>
        <v>104</v>
      </c>
      <c r="H7" s="5" t="n">
        <f aca="false">COUNTIFS('Agentic AI'!H2:H124,"P1",'Agentic AI'!I2:I124,"Done")</f>
        <v>0</v>
      </c>
      <c r="I7" s="5" t="n">
        <f aca="false">COUNTIF('Agentic AI'!J2:J124,"Script Ready")+COUNTIF('Agentic AI'!J2:J124,"Reel Made")+COUNTIF('Agentic AI'!J2:J124,"Watched")</f>
        <v>0</v>
      </c>
    </row>
    <row r="8" customFormat="false" ht="15" hidden="false" customHeight="false" outlineLevel="0" collapsed="false">
      <c r="A8" s="7" t="s">
        <v>14</v>
      </c>
      <c r="B8" s="8" t="n">
        <f aca="false">SUM(B5:B7)</f>
        <v>392</v>
      </c>
      <c r="C8" s="8" t="n">
        <f aca="false">SUM(C5:C7)</f>
        <v>0</v>
      </c>
      <c r="D8" s="8" t="n">
        <f aca="false">SUM(D5:D7)</f>
        <v>0</v>
      </c>
      <c r="E8" s="8" t="n">
        <f aca="false">SUM(E5:E7)</f>
        <v>392</v>
      </c>
      <c r="F8" s="9" t="n">
        <f aca="false">IF(B8=0,0,C8/B8)</f>
        <v>0</v>
      </c>
      <c r="G8" s="8" t="n">
        <f aca="false">SUM(G5:G7)</f>
        <v>333</v>
      </c>
      <c r="H8" s="8" t="n">
        <f aca="false">SUM(H5:H7)</f>
        <v>0</v>
      </c>
      <c r="I8" s="8" t="n">
        <f aca="false">SUM(I5:I7)</f>
        <v>0</v>
      </c>
    </row>
    <row r="10" customFormat="false" ht="15" hidden="false" customHeight="false" outlineLevel="0" collapsed="false">
      <c r="A10" s="10" t="s">
        <v>15</v>
      </c>
      <c r="B10" s="11" t="n">
        <f aca="false">COUNTIF('Learning Path'!J2:J81,"Done")</f>
        <v>0</v>
      </c>
      <c r="C10" s="11" t="s">
        <v>16</v>
      </c>
    </row>
    <row r="12" customFormat="false" ht="15" hidden="false" customHeight="false" outlineLevel="0" collapsed="false">
      <c r="A12" s="10" t="s">
        <v>17</v>
      </c>
    </row>
    <row r="13" customFormat="false" ht="15" hidden="false" customHeight="false" outlineLevel="0" collapsed="false">
      <c r="A13" s="11" t="s">
        <v>18</v>
      </c>
    </row>
    <row r="14" customFormat="false" ht="15" hidden="false" customHeight="false" outlineLevel="0" collapsed="false">
      <c r="A14" s="11" t="s">
        <v>19</v>
      </c>
    </row>
    <row r="15" customFormat="false" ht="15" hidden="false" customHeight="false" outlineLevel="0" collapsed="false">
      <c r="A15" s="11" t="s">
        <v>20</v>
      </c>
    </row>
    <row r="16" customFormat="false" ht="15" hidden="false" customHeight="false" outlineLevel="0" collapsed="false">
      <c r="A16" s="11" t="s">
        <v>21</v>
      </c>
    </row>
    <row r="17" customFormat="false" ht="15" hidden="false" customHeight="false" outlineLevel="0" collapsed="false">
      <c r="A17" s="1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</row>
    <row r="2" customFormat="false" ht="15" hidden="false" customHeight="false" outlineLevel="0" collapsed="false">
      <c r="A2" s="12" t="n">
        <v>1</v>
      </c>
      <c r="B2" s="13" t="s">
        <v>32</v>
      </c>
      <c r="C2" s="12" t="s">
        <v>33</v>
      </c>
      <c r="D2" s="13" t="s">
        <v>11</v>
      </c>
      <c r="E2" s="14" t="s">
        <v>34</v>
      </c>
      <c r="F2" s="15" t="s">
        <v>35</v>
      </c>
      <c r="G2" s="12" t="n">
        <f aca="false">COUNTIF(Python!$C$2:$C$121,C2)</f>
        <v>5</v>
      </c>
      <c r="H2" s="12" t="str">
        <f aca="false">IF(G2&lt;=4,"3-4 min",IF(G2&lt;=6,"6-8 min","10-12 min"))</f>
        <v>6-8 min</v>
      </c>
      <c r="I2" s="13" t="s">
        <v>36</v>
      </c>
      <c r="J2" s="13" t="str">
        <f aca="false">IF(COUNTIFS(Python!$C$2:$C$121,C2,Python!$I$2:$I$121,"Done")=G2,"Done",IF(COUNTIFS(Python!$C$2:$C$121,C2,Python!$I$2:$I$121,"Not Started")=G2,"Not Started","In Progress"))</f>
        <v>Not Started</v>
      </c>
    </row>
    <row r="3" customFormat="false" ht="15" hidden="false" customHeight="false" outlineLevel="0" collapsed="false">
      <c r="A3" s="12" t="n">
        <v>2</v>
      </c>
      <c r="B3" s="13" t="s">
        <v>32</v>
      </c>
      <c r="C3" s="12" t="s">
        <v>37</v>
      </c>
      <c r="D3" s="13" t="s">
        <v>11</v>
      </c>
      <c r="E3" s="14" t="s">
        <v>38</v>
      </c>
      <c r="F3" s="15" t="s">
        <v>35</v>
      </c>
      <c r="G3" s="12" t="n">
        <f aca="false">COUNTIF(Python!$C$2:$C$121,C3)</f>
        <v>5</v>
      </c>
      <c r="H3" s="12" t="str">
        <f aca="false">IF(G3&lt;=4,"3-4 min",IF(G3&lt;=6,"6-8 min","10-12 min"))</f>
        <v>6-8 min</v>
      </c>
      <c r="I3" s="13" t="s">
        <v>33</v>
      </c>
      <c r="J3" s="13" t="str">
        <f aca="false">IF(COUNTIFS(Python!$C$2:$C$121,C3,Python!$I$2:$I$121,"Done")=G3,"Done",IF(COUNTIFS(Python!$C$2:$C$121,C3,Python!$I$2:$I$121,"Not Started")=G3,"Not Started","In Progress"))</f>
        <v>Not Started</v>
      </c>
    </row>
    <row r="4" customFormat="false" ht="15" hidden="false" customHeight="false" outlineLevel="0" collapsed="false">
      <c r="A4" s="12" t="n">
        <v>3</v>
      </c>
      <c r="B4" s="13" t="s">
        <v>32</v>
      </c>
      <c r="C4" s="12" t="s">
        <v>39</v>
      </c>
      <c r="D4" s="13" t="s">
        <v>11</v>
      </c>
      <c r="E4" s="14" t="s">
        <v>40</v>
      </c>
      <c r="F4" s="15" t="s">
        <v>35</v>
      </c>
      <c r="G4" s="12" t="n">
        <f aca="false">COUNTIF(Python!$C$2:$C$121,C4)</f>
        <v>5</v>
      </c>
      <c r="H4" s="12" t="str">
        <f aca="false">IF(G4&lt;=4,"3-4 min",IF(G4&lt;=6,"6-8 min","10-12 min"))</f>
        <v>6-8 min</v>
      </c>
      <c r="I4" s="13" t="s">
        <v>37</v>
      </c>
      <c r="J4" s="13" t="str">
        <f aca="false">IF(COUNTIFS(Python!$C$2:$C$121,C4,Python!$I$2:$I$121,"Done")=G4,"Done",IF(COUNTIFS(Python!$C$2:$C$121,C4,Python!$I$2:$I$121,"Not Started")=G4,"Not Started","In Progress"))</f>
        <v>Not Started</v>
      </c>
    </row>
    <row r="5" customFormat="false" ht="15" hidden="false" customHeight="false" outlineLevel="0" collapsed="false">
      <c r="A5" s="12" t="n">
        <v>4</v>
      </c>
      <c r="B5" s="13" t="s">
        <v>32</v>
      </c>
      <c r="C5" s="12" t="s">
        <v>41</v>
      </c>
      <c r="D5" s="13" t="s">
        <v>11</v>
      </c>
      <c r="E5" s="14" t="s">
        <v>42</v>
      </c>
      <c r="F5" s="15" t="s">
        <v>35</v>
      </c>
      <c r="G5" s="12" t="n">
        <f aca="false">COUNTIF(Python!$C$2:$C$121,C5)</f>
        <v>5</v>
      </c>
      <c r="H5" s="12" t="str">
        <f aca="false">IF(G5&lt;=4,"3-4 min",IF(G5&lt;=6,"6-8 min","10-12 min"))</f>
        <v>6-8 min</v>
      </c>
      <c r="I5" s="13" t="s">
        <v>39</v>
      </c>
      <c r="J5" s="13" t="str">
        <f aca="false">IF(COUNTIFS(Python!$C$2:$C$121,C5,Python!$I$2:$I$121,"Done")=G5,"Done",IF(COUNTIFS(Python!$C$2:$C$121,C5,Python!$I$2:$I$121,"Not Started")=G5,"Not Started","In Progress"))</f>
        <v>Not Started</v>
      </c>
    </row>
    <row r="6" customFormat="false" ht="15" hidden="false" customHeight="false" outlineLevel="0" collapsed="false">
      <c r="A6" s="12" t="n">
        <v>5</v>
      </c>
      <c r="B6" s="13" t="s">
        <v>32</v>
      </c>
      <c r="C6" s="12" t="s">
        <v>43</v>
      </c>
      <c r="D6" s="13" t="s">
        <v>11</v>
      </c>
      <c r="E6" s="14" t="s">
        <v>44</v>
      </c>
      <c r="F6" s="15" t="s">
        <v>35</v>
      </c>
      <c r="G6" s="12" t="n">
        <f aca="false">COUNTIF(Python!$C$2:$C$121,C6)</f>
        <v>6</v>
      </c>
      <c r="H6" s="12" t="str">
        <f aca="false">IF(G6&lt;=4,"3-4 min",IF(G6&lt;=6,"6-8 min","10-12 min"))</f>
        <v>6-8 min</v>
      </c>
      <c r="I6" s="13" t="s">
        <v>41</v>
      </c>
      <c r="J6" s="13" t="str">
        <f aca="false">IF(COUNTIFS(Python!$C$2:$C$121,C6,Python!$I$2:$I$121,"Done")=G6,"Done",IF(COUNTIFS(Python!$C$2:$C$121,C6,Python!$I$2:$I$121,"Not Started")=G6,"Not Started","In Progress"))</f>
        <v>Not Started</v>
      </c>
    </row>
    <row r="7" customFormat="false" ht="15" hidden="false" customHeight="false" outlineLevel="0" collapsed="false">
      <c r="A7" s="12" t="n">
        <v>6</v>
      </c>
      <c r="B7" s="13" t="s">
        <v>32</v>
      </c>
      <c r="C7" s="12" t="s">
        <v>45</v>
      </c>
      <c r="D7" s="13" t="s">
        <v>11</v>
      </c>
      <c r="E7" s="14" t="s">
        <v>46</v>
      </c>
      <c r="F7" s="15" t="s">
        <v>35</v>
      </c>
      <c r="G7" s="12" t="n">
        <f aca="false">COUNTIF(Python!$C$2:$C$121,C7)</f>
        <v>4</v>
      </c>
      <c r="H7" s="12" t="str">
        <f aca="false">IF(G7&lt;=4,"3-4 min",IF(G7&lt;=6,"6-8 min","10-12 min"))</f>
        <v>3-4 min</v>
      </c>
      <c r="I7" s="13" t="s">
        <v>43</v>
      </c>
      <c r="J7" s="13" t="str">
        <f aca="false">IF(COUNTIFS(Python!$C$2:$C$121,C7,Python!$I$2:$I$121,"Done")=G7,"Done",IF(COUNTIFS(Python!$C$2:$C$121,C7,Python!$I$2:$I$121,"Not Started")=G7,"Not Started","In Progress"))</f>
        <v>Not Started</v>
      </c>
    </row>
    <row r="8" customFormat="false" ht="15" hidden="false" customHeight="false" outlineLevel="0" collapsed="false">
      <c r="A8" s="12" t="n">
        <v>7</v>
      </c>
      <c r="B8" s="13" t="s">
        <v>32</v>
      </c>
      <c r="C8" s="12" t="s">
        <v>47</v>
      </c>
      <c r="D8" s="13" t="s">
        <v>11</v>
      </c>
      <c r="E8" s="14" t="s">
        <v>48</v>
      </c>
      <c r="F8" s="15" t="s">
        <v>35</v>
      </c>
      <c r="G8" s="12" t="n">
        <f aca="false">COUNTIF(Python!$C$2:$C$121,C8)</f>
        <v>6</v>
      </c>
      <c r="H8" s="12" t="str">
        <f aca="false">IF(G8&lt;=4,"3-4 min",IF(G8&lt;=6,"6-8 min","10-12 min"))</f>
        <v>6-8 min</v>
      </c>
      <c r="I8" s="13" t="s">
        <v>45</v>
      </c>
      <c r="J8" s="13" t="str">
        <f aca="false">IF(COUNTIFS(Python!$C$2:$C$121,C8,Python!$I$2:$I$121,"Done")=G8,"Done",IF(COUNTIFS(Python!$C$2:$C$121,C8,Python!$I$2:$I$121,"Not Started")=G8,"Not Started","In Progress"))</f>
        <v>Not Started</v>
      </c>
    </row>
    <row r="9" customFormat="false" ht="15" hidden="false" customHeight="false" outlineLevel="0" collapsed="false">
      <c r="A9" s="12" t="n">
        <v>8</v>
      </c>
      <c r="B9" s="13" t="s">
        <v>32</v>
      </c>
      <c r="C9" s="12" t="s">
        <v>49</v>
      </c>
      <c r="D9" s="13" t="s">
        <v>11</v>
      </c>
      <c r="E9" s="14" t="s">
        <v>50</v>
      </c>
      <c r="F9" s="15" t="s">
        <v>35</v>
      </c>
      <c r="G9" s="12" t="n">
        <f aca="false">COUNTIF(Python!$C$2:$C$121,C9)</f>
        <v>4</v>
      </c>
      <c r="H9" s="12" t="str">
        <f aca="false">IF(G9&lt;=4,"3-4 min",IF(G9&lt;=6,"6-8 min","10-12 min"))</f>
        <v>3-4 min</v>
      </c>
      <c r="I9" s="13" t="s">
        <v>47</v>
      </c>
      <c r="J9" s="13" t="str">
        <f aca="false">IF(COUNTIFS(Python!$C$2:$C$121,C9,Python!$I$2:$I$121,"Done")=G9,"Done",IF(COUNTIFS(Python!$C$2:$C$121,C9,Python!$I$2:$I$121,"Not Started")=G9,"Not Started","In Progress"))</f>
        <v>Not Started</v>
      </c>
    </row>
    <row r="10" customFormat="false" ht="15" hidden="false" customHeight="false" outlineLevel="0" collapsed="false">
      <c r="A10" s="12" t="n">
        <v>9</v>
      </c>
      <c r="B10" s="13" t="s">
        <v>32</v>
      </c>
      <c r="C10" s="12" t="s">
        <v>51</v>
      </c>
      <c r="D10" s="13" t="s">
        <v>11</v>
      </c>
      <c r="E10" s="14" t="s">
        <v>52</v>
      </c>
      <c r="F10" s="15" t="s">
        <v>35</v>
      </c>
      <c r="G10" s="12" t="n">
        <f aca="false">COUNTIF(Python!$C$2:$C$121,C10)</f>
        <v>4</v>
      </c>
      <c r="H10" s="12" t="str">
        <f aca="false">IF(G10&lt;=4,"3-4 min",IF(G10&lt;=6,"6-8 min","10-12 min"))</f>
        <v>3-4 min</v>
      </c>
      <c r="I10" s="13" t="s">
        <v>49</v>
      </c>
      <c r="J10" s="13" t="str">
        <f aca="false">IF(COUNTIFS(Python!$C$2:$C$121,C10,Python!$I$2:$I$121,"Done")=G10,"Done",IF(COUNTIFS(Python!$C$2:$C$121,C10,Python!$I$2:$I$121,"Not Started")=G10,"Not Started","In Progress"))</f>
        <v>Not Started</v>
      </c>
    </row>
    <row r="11" customFormat="false" ht="15" hidden="false" customHeight="false" outlineLevel="0" collapsed="false">
      <c r="A11" s="12" t="n">
        <v>10</v>
      </c>
      <c r="B11" s="13" t="s">
        <v>53</v>
      </c>
      <c r="C11" s="12" t="s">
        <v>54</v>
      </c>
      <c r="D11" s="13" t="s">
        <v>12</v>
      </c>
      <c r="E11" s="14" t="s">
        <v>55</v>
      </c>
      <c r="F11" s="15" t="s">
        <v>35</v>
      </c>
      <c r="G11" s="12" t="n">
        <f aca="false">COUNTIF(GenAI!$C$2:$C$150,C11)</f>
        <v>6</v>
      </c>
      <c r="H11" s="12" t="str">
        <f aca="false">IF(G11&lt;=4,"3-4 min",IF(G11&lt;=6,"6-8 min","10-12 min"))</f>
        <v>6-8 min</v>
      </c>
      <c r="I11" s="13" t="s">
        <v>51</v>
      </c>
      <c r="J11" s="13" t="str">
        <f aca="false">IF(COUNTIFS(GenAI!$C$2:$C$150,C11,GenAI!$I$2:$I$150,"Done")=G11,"Done",IF(COUNTIFS(GenAI!$C$2:$C$150,C11,GenAI!$I$2:$I$150,"Not Started")=G11,"Not Started","In Progress"))</f>
        <v>Not Started</v>
      </c>
    </row>
    <row r="12" customFormat="false" ht="15" hidden="false" customHeight="false" outlineLevel="0" collapsed="false">
      <c r="A12" s="12" t="n">
        <v>11</v>
      </c>
      <c r="B12" s="13" t="s">
        <v>53</v>
      </c>
      <c r="C12" s="12" t="s">
        <v>56</v>
      </c>
      <c r="D12" s="13" t="s">
        <v>12</v>
      </c>
      <c r="E12" s="14" t="s">
        <v>57</v>
      </c>
      <c r="F12" s="15" t="s">
        <v>35</v>
      </c>
      <c r="G12" s="12" t="n">
        <f aca="false">COUNTIF(GenAI!$C$2:$C$150,C12)</f>
        <v>5</v>
      </c>
      <c r="H12" s="12" t="str">
        <f aca="false">IF(G12&lt;=4,"3-4 min",IF(G12&lt;=6,"6-8 min","10-12 min"))</f>
        <v>6-8 min</v>
      </c>
      <c r="I12" s="13" t="s">
        <v>54</v>
      </c>
      <c r="J12" s="13" t="str">
        <f aca="false">IF(COUNTIFS(GenAI!$C$2:$C$150,C12,GenAI!$I$2:$I$150,"Done")=G12,"Done",IF(COUNTIFS(GenAI!$C$2:$C$150,C12,GenAI!$I$2:$I$150,"Not Started")=G12,"Not Started","In Progress"))</f>
        <v>Not Started</v>
      </c>
    </row>
    <row r="13" customFormat="false" ht="15" hidden="false" customHeight="false" outlineLevel="0" collapsed="false">
      <c r="A13" s="12" t="n">
        <v>12</v>
      </c>
      <c r="B13" s="13" t="s">
        <v>53</v>
      </c>
      <c r="C13" s="12" t="s">
        <v>58</v>
      </c>
      <c r="D13" s="13" t="s">
        <v>12</v>
      </c>
      <c r="E13" s="14" t="s">
        <v>59</v>
      </c>
      <c r="F13" s="15" t="s">
        <v>35</v>
      </c>
      <c r="G13" s="12" t="n">
        <f aca="false">COUNTIF(GenAI!$C$2:$C$150,C13)</f>
        <v>6</v>
      </c>
      <c r="H13" s="12" t="str">
        <f aca="false">IF(G13&lt;=4,"3-4 min",IF(G13&lt;=6,"6-8 min","10-12 min"))</f>
        <v>6-8 min</v>
      </c>
      <c r="I13" s="13" t="s">
        <v>56</v>
      </c>
      <c r="J13" s="13" t="str">
        <f aca="false">IF(COUNTIFS(GenAI!$C$2:$C$150,C13,GenAI!$I$2:$I$150,"Done")=G13,"Done",IF(COUNTIFS(GenAI!$C$2:$C$150,C13,GenAI!$I$2:$I$150,"Not Started")=G13,"Not Started","In Progress"))</f>
        <v>Not Started</v>
      </c>
    </row>
    <row r="14" customFormat="false" ht="15" hidden="false" customHeight="false" outlineLevel="0" collapsed="false">
      <c r="A14" s="12" t="n">
        <v>13</v>
      </c>
      <c r="B14" s="13" t="s">
        <v>53</v>
      </c>
      <c r="C14" s="12" t="s">
        <v>60</v>
      </c>
      <c r="D14" s="13" t="s">
        <v>12</v>
      </c>
      <c r="E14" s="14" t="s">
        <v>61</v>
      </c>
      <c r="F14" s="15" t="s">
        <v>35</v>
      </c>
      <c r="G14" s="12" t="n">
        <f aca="false">COUNTIF(GenAI!$C$2:$C$150,C14)</f>
        <v>5</v>
      </c>
      <c r="H14" s="12" t="str">
        <f aca="false">IF(G14&lt;=4,"3-4 min",IF(G14&lt;=6,"6-8 min","10-12 min"))</f>
        <v>6-8 min</v>
      </c>
      <c r="I14" s="13" t="s">
        <v>58</v>
      </c>
      <c r="J14" s="13" t="str">
        <f aca="false">IF(COUNTIFS(GenAI!$C$2:$C$150,C14,GenAI!$I$2:$I$150,"Done")=G14,"Done",IF(COUNTIFS(GenAI!$C$2:$C$150,C14,GenAI!$I$2:$I$150,"Not Started")=G14,"Not Started","In Progress"))</f>
        <v>Not Started</v>
      </c>
    </row>
    <row r="15" customFormat="false" ht="15" hidden="false" customHeight="false" outlineLevel="0" collapsed="false">
      <c r="A15" s="12" t="n">
        <v>14</v>
      </c>
      <c r="B15" s="13" t="s">
        <v>53</v>
      </c>
      <c r="C15" s="12" t="s">
        <v>62</v>
      </c>
      <c r="D15" s="13" t="s">
        <v>12</v>
      </c>
      <c r="E15" s="14" t="s">
        <v>63</v>
      </c>
      <c r="F15" s="15" t="s">
        <v>35</v>
      </c>
      <c r="G15" s="12" t="n">
        <f aca="false">COUNTIF(GenAI!$C$2:$C$150,C15)</f>
        <v>6</v>
      </c>
      <c r="H15" s="12" t="str">
        <f aca="false">IF(G15&lt;=4,"3-4 min",IF(G15&lt;=6,"6-8 min","10-12 min"))</f>
        <v>6-8 min</v>
      </c>
      <c r="I15" s="13" t="s">
        <v>60</v>
      </c>
      <c r="J15" s="13" t="str">
        <f aca="false">IF(COUNTIFS(GenAI!$C$2:$C$150,C15,GenAI!$I$2:$I$150,"Done")=G15,"Done",IF(COUNTIFS(GenAI!$C$2:$C$150,C15,GenAI!$I$2:$I$150,"Not Started")=G15,"Not Started","In Progress"))</f>
        <v>Not Started</v>
      </c>
    </row>
    <row r="16" customFormat="false" ht="15" hidden="false" customHeight="false" outlineLevel="0" collapsed="false">
      <c r="A16" s="12" t="n">
        <v>15</v>
      </c>
      <c r="B16" s="13" t="s">
        <v>53</v>
      </c>
      <c r="C16" s="12" t="s">
        <v>64</v>
      </c>
      <c r="D16" s="13" t="s">
        <v>12</v>
      </c>
      <c r="E16" s="14" t="s">
        <v>65</v>
      </c>
      <c r="F16" s="16" t="s">
        <v>66</v>
      </c>
      <c r="G16" s="12" t="n">
        <f aca="false">COUNTIF(GenAI!$C$2:$C$150,C16)</f>
        <v>4</v>
      </c>
      <c r="H16" s="12" t="str">
        <f aca="false">IF(G16&lt;=4,"3-4 min",IF(G16&lt;=6,"6-8 min","10-12 min"))</f>
        <v>3-4 min</v>
      </c>
      <c r="I16" s="13" t="s">
        <v>62</v>
      </c>
      <c r="J16" s="13" t="str">
        <f aca="false">IF(COUNTIFS(GenAI!$C$2:$C$150,C16,GenAI!$I$2:$I$150,"Done")=G16,"Done",IF(COUNTIFS(GenAI!$C$2:$C$150,C16,GenAI!$I$2:$I$150,"Not Started")=G16,"Not Started","In Progress"))</f>
        <v>Not Started</v>
      </c>
    </row>
    <row r="17" customFormat="false" ht="15" hidden="false" customHeight="false" outlineLevel="0" collapsed="false">
      <c r="A17" s="12" t="n">
        <v>16</v>
      </c>
      <c r="B17" s="13" t="s">
        <v>67</v>
      </c>
      <c r="C17" s="12" t="s">
        <v>68</v>
      </c>
      <c r="D17" s="13" t="s">
        <v>11</v>
      </c>
      <c r="E17" s="14" t="s">
        <v>69</v>
      </c>
      <c r="F17" s="15" t="s">
        <v>35</v>
      </c>
      <c r="G17" s="12" t="n">
        <f aca="false">COUNTIF(Python!$C$2:$C$121,C17)</f>
        <v>4</v>
      </c>
      <c r="H17" s="12" t="str">
        <f aca="false">IF(G17&lt;=4,"3-4 min",IF(G17&lt;=6,"6-8 min","10-12 min"))</f>
        <v>3-4 min</v>
      </c>
      <c r="I17" s="13" t="s">
        <v>51</v>
      </c>
      <c r="J17" s="13" t="str">
        <f aca="false">IF(COUNTIFS(Python!$C$2:$C$121,C17,Python!$I$2:$I$121,"Done")=G17,"Done",IF(COUNTIFS(Python!$C$2:$C$121,C17,Python!$I$2:$I$121,"Not Started")=G17,"Not Started","In Progress"))</f>
        <v>Not Started</v>
      </c>
    </row>
    <row r="18" customFormat="false" ht="15" hidden="false" customHeight="false" outlineLevel="0" collapsed="false">
      <c r="A18" s="12" t="n">
        <v>17</v>
      </c>
      <c r="B18" s="13" t="s">
        <v>67</v>
      </c>
      <c r="C18" s="12" t="s">
        <v>70</v>
      </c>
      <c r="D18" s="13" t="s">
        <v>11</v>
      </c>
      <c r="E18" s="14" t="s">
        <v>71</v>
      </c>
      <c r="F18" s="16" t="s">
        <v>66</v>
      </c>
      <c r="G18" s="12" t="n">
        <f aca="false">COUNTIF(Python!$C$2:$C$121,C18)</f>
        <v>5</v>
      </c>
      <c r="H18" s="12" t="str">
        <f aca="false">IF(G18&lt;=4,"3-4 min",IF(G18&lt;=6,"6-8 min","10-12 min"))</f>
        <v>6-8 min</v>
      </c>
      <c r="I18" s="13" t="s">
        <v>68</v>
      </c>
      <c r="J18" s="13" t="str">
        <f aca="false">IF(COUNTIFS(Python!$C$2:$C$121,C18,Python!$I$2:$I$121,"Done")=G18,"Done",IF(COUNTIFS(Python!$C$2:$C$121,C18,Python!$I$2:$I$121,"Not Started")=G18,"Not Started","In Progress"))</f>
        <v>Not Started</v>
      </c>
    </row>
    <row r="19" customFormat="false" ht="15" hidden="false" customHeight="false" outlineLevel="0" collapsed="false">
      <c r="A19" s="12" t="n">
        <v>18</v>
      </c>
      <c r="B19" s="13" t="s">
        <v>67</v>
      </c>
      <c r="C19" s="12" t="s">
        <v>72</v>
      </c>
      <c r="D19" s="13" t="s">
        <v>11</v>
      </c>
      <c r="E19" s="14" t="s">
        <v>73</v>
      </c>
      <c r="F19" s="15" t="s">
        <v>35</v>
      </c>
      <c r="G19" s="12" t="n">
        <f aca="false">COUNTIF(Python!$C$2:$C$121,C19)</f>
        <v>6</v>
      </c>
      <c r="H19" s="12" t="str">
        <f aca="false">IF(G19&lt;=4,"3-4 min",IF(G19&lt;=6,"6-8 min","10-12 min"))</f>
        <v>6-8 min</v>
      </c>
      <c r="I19" s="13" t="s">
        <v>68</v>
      </c>
      <c r="J19" s="13" t="str">
        <f aca="false">IF(COUNTIFS(Python!$C$2:$C$121,C19,Python!$I$2:$I$121,"Done")=G19,"Done",IF(COUNTIFS(Python!$C$2:$C$121,C19,Python!$I$2:$I$121,"Not Started")=G19,"Not Started","In Progress"))</f>
        <v>Not Started</v>
      </c>
    </row>
    <row r="20" customFormat="false" ht="15" hidden="false" customHeight="false" outlineLevel="0" collapsed="false">
      <c r="A20" s="12" t="n">
        <v>19</v>
      </c>
      <c r="B20" s="13" t="s">
        <v>67</v>
      </c>
      <c r="C20" s="12" t="s">
        <v>74</v>
      </c>
      <c r="D20" s="13" t="s">
        <v>11</v>
      </c>
      <c r="E20" s="14" t="s">
        <v>75</v>
      </c>
      <c r="F20" s="15" t="s">
        <v>35</v>
      </c>
      <c r="G20" s="12" t="n">
        <f aca="false">COUNTIF(Python!$C$2:$C$121,C20)</f>
        <v>6</v>
      </c>
      <c r="H20" s="12" t="str">
        <f aca="false">IF(G20&lt;=4,"3-4 min",IF(G20&lt;=6,"6-8 min","10-12 min"))</f>
        <v>6-8 min</v>
      </c>
      <c r="I20" s="13" t="s">
        <v>72</v>
      </c>
      <c r="J20" s="13" t="str">
        <f aca="false">IF(COUNTIFS(Python!$C$2:$C$121,C20,Python!$I$2:$I$121,"Done")=G20,"Done",IF(COUNTIFS(Python!$C$2:$C$121,C20,Python!$I$2:$I$121,"Not Started")=G20,"Not Started","In Progress"))</f>
        <v>Not Started</v>
      </c>
    </row>
    <row r="21" customFormat="false" ht="15" hidden="false" customHeight="false" outlineLevel="0" collapsed="false">
      <c r="A21" s="12" t="n">
        <v>20</v>
      </c>
      <c r="B21" s="13" t="s">
        <v>67</v>
      </c>
      <c r="C21" s="12" t="s">
        <v>76</v>
      </c>
      <c r="D21" s="13" t="s">
        <v>11</v>
      </c>
      <c r="E21" s="14" t="s">
        <v>77</v>
      </c>
      <c r="F21" s="15" t="s">
        <v>35</v>
      </c>
      <c r="G21" s="12" t="n">
        <f aca="false">COUNTIF(Python!$C$2:$C$121,C21)</f>
        <v>6</v>
      </c>
      <c r="H21" s="12" t="str">
        <f aca="false">IF(G21&lt;=4,"3-4 min",IF(G21&lt;=6,"6-8 min","10-12 min"))</f>
        <v>6-8 min</v>
      </c>
      <c r="I21" s="13" t="s">
        <v>74</v>
      </c>
      <c r="J21" s="13" t="str">
        <f aca="false">IF(COUNTIFS(Python!$C$2:$C$121,C21,Python!$I$2:$I$121,"Done")=G21,"Done",IF(COUNTIFS(Python!$C$2:$C$121,C21,Python!$I$2:$I$121,"Not Started")=G21,"Not Started","In Progress"))</f>
        <v>Not Started</v>
      </c>
    </row>
    <row r="22" customFormat="false" ht="15" hidden="false" customHeight="false" outlineLevel="0" collapsed="false">
      <c r="A22" s="12" t="n">
        <v>21</v>
      </c>
      <c r="B22" s="13" t="s">
        <v>67</v>
      </c>
      <c r="C22" s="12" t="s">
        <v>78</v>
      </c>
      <c r="D22" s="13" t="s">
        <v>11</v>
      </c>
      <c r="E22" s="14" t="s">
        <v>79</v>
      </c>
      <c r="F22" s="15" t="s">
        <v>35</v>
      </c>
      <c r="G22" s="12" t="n">
        <f aca="false">COUNTIF(Python!$C$2:$C$121,C22)</f>
        <v>6</v>
      </c>
      <c r="H22" s="12" t="str">
        <f aca="false">IF(G22&lt;=4,"3-4 min",IF(G22&lt;=6,"6-8 min","10-12 min"))</f>
        <v>6-8 min</v>
      </c>
      <c r="I22" s="13" t="s">
        <v>76</v>
      </c>
      <c r="J22" s="13" t="str">
        <f aca="false">IF(COUNTIFS(Python!$C$2:$C$121,C22,Python!$I$2:$I$121,"Done")=G22,"Done",IF(COUNTIFS(Python!$C$2:$C$121,C22,Python!$I$2:$I$121,"Not Started")=G22,"Not Started","In Progress"))</f>
        <v>Not Started</v>
      </c>
    </row>
    <row r="23" customFormat="false" ht="15" hidden="false" customHeight="false" outlineLevel="0" collapsed="false">
      <c r="A23" s="12" t="n">
        <v>22</v>
      </c>
      <c r="B23" s="13" t="s">
        <v>80</v>
      </c>
      <c r="C23" s="12" t="s">
        <v>81</v>
      </c>
      <c r="D23" s="13" t="s">
        <v>12</v>
      </c>
      <c r="E23" s="14" t="s">
        <v>82</v>
      </c>
      <c r="F23" s="15" t="s">
        <v>35</v>
      </c>
      <c r="G23" s="12" t="n">
        <f aca="false">COUNTIF(GenAI!$C$2:$C$150,C23)</f>
        <v>5</v>
      </c>
      <c r="H23" s="12" t="str">
        <f aca="false">IF(G23&lt;=4,"3-4 min",IF(G23&lt;=6,"6-8 min","10-12 min"))</f>
        <v>6-8 min</v>
      </c>
      <c r="I23" s="13" t="s">
        <v>83</v>
      </c>
      <c r="J23" s="13" t="str">
        <f aca="false">IF(COUNTIFS(GenAI!$C$2:$C$150,C23,GenAI!$I$2:$I$150,"Done")=G23,"Done",IF(COUNTIFS(GenAI!$C$2:$C$150,C23,GenAI!$I$2:$I$150,"Not Started")=G23,"Not Started","In Progress"))</f>
        <v>Not Started</v>
      </c>
    </row>
    <row r="24" customFormat="false" ht="15" hidden="false" customHeight="false" outlineLevel="0" collapsed="false">
      <c r="A24" s="12" t="n">
        <v>23</v>
      </c>
      <c r="B24" s="13" t="s">
        <v>80</v>
      </c>
      <c r="C24" s="12" t="s">
        <v>84</v>
      </c>
      <c r="D24" s="13" t="s">
        <v>12</v>
      </c>
      <c r="E24" s="14" t="s">
        <v>85</v>
      </c>
      <c r="F24" s="15" t="s">
        <v>35</v>
      </c>
      <c r="G24" s="12" t="n">
        <f aca="false">COUNTIF(GenAI!$C$2:$C$150,C24)</f>
        <v>4</v>
      </c>
      <c r="H24" s="12" t="str">
        <f aca="false">IF(G24&lt;=4,"3-4 min",IF(G24&lt;=6,"6-8 min","10-12 min"))</f>
        <v>3-4 min</v>
      </c>
      <c r="I24" s="13" t="s">
        <v>81</v>
      </c>
      <c r="J24" s="13" t="str">
        <f aca="false">IF(COUNTIFS(GenAI!$C$2:$C$150,C24,GenAI!$I$2:$I$150,"Done")=G24,"Done",IF(COUNTIFS(GenAI!$C$2:$C$150,C24,GenAI!$I$2:$I$150,"Not Started")=G24,"Not Started","In Progress"))</f>
        <v>Not Started</v>
      </c>
    </row>
    <row r="25" customFormat="false" ht="15" hidden="false" customHeight="false" outlineLevel="0" collapsed="false">
      <c r="A25" s="12" t="n">
        <v>24</v>
      </c>
      <c r="B25" s="13" t="s">
        <v>80</v>
      </c>
      <c r="C25" s="12" t="s">
        <v>86</v>
      </c>
      <c r="D25" s="13" t="s">
        <v>11</v>
      </c>
      <c r="E25" s="14" t="s">
        <v>87</v>
      </c>
      <c r="F25" s="15" t="s">
        <v>35</v>
      </c>
      <c r="G25" s="12" t="n">
        <f aca="false">COUNTIF(Python!$C$2:$C$121,C25)</f>
        <v>6</v>
      </c>
      <c r="H25" s="12" t="str">
        <f aca="false">IF(G25&lt;=4,"3-4 min",IF(G25&lt;=6,"6-8 min","10-12 min"))</f>
        <v>6-8 min</v>
      </c>
      <c r="I25" s="13" t="s">
        <v>72</v>
      </c>
      <c r="J25" s="13" t="str">
        <f aca="false">IF(COUNTIFS(Python!$C$2:$C$121,C25,Python!$I$2:$I$121,"Done")=G25,"Done",IF(COUNTIFS(Python!$C$2:$C$121,C25,Python!$I$2:$I$121,"Not Started")=G25,"Not Started","In Progress"))</f>
        <v>Not Started</v>
      </c>
    </row>
    <row r="26" customFormat="false" ht="15" hidden="false" customHeight="false" outlineLevel="0" collapsed="false">
      <c r="A26" s="12" t="n">
        <v>25</v>
      </c>
      <c r="B26" s="13" t="s">
        <v>80</v>
      </c>
      <c r="C26" s="12" t="s">
        <v>88</v>
      </c>
      <c r="D26" s="13" t="s">
        <v>12</v>
      </c>
      <c r="E26" s="14" t="s">
        <v>89</v>
      </c>
      <c r="F26" s="15" t="s">
        <v>35</v>
      </c>
      <c r="G26" s="12" t="n">
        <f aca="false">COUNTIF(GenAI!$C$2:$C$150,C26)</f>
        <v>6</v>
      </c>
      <c r="H26" s="12" t="str">
        <f aca="false">IF(G26&lt;=4,"3-4 min",IF(G26&lt;=6,"6-8 min","10-12 min"))</f>
        <v>6-8 min</v>
      </c>
      <c r="I26" s="13" t="s">
        <v>90</v>
      </c>
      <c r="J26" s="13" t="str">
        <f aca="false">IF(COUNTIFS(GenAI!$C$2:$C$150,C26,GenAI!$I$2:$I$150,"Done")=G26,"Done",IF(COUNTIFS(GenAI!$C$2:$C$150,C26,GenAI!$I$2:$I$150,"Not Started")=G26,"Not Started","In Progress"))</f>
        <v>Not Started</v>
      </c>
    </row>
    <row r="27" customFormat="false" ht="15" hidden="false" customHeight="false" outlineLevel="0" collapsed="false">
      <c r="A27" s="12" t="n">
        <v>26</v>
      </c>
      <c r="B27" s="13" t="s">
        <v>80</v>
      </c>
      <c r="C27" s="12" t="s">
        <v>91</v>
      </c>
      <c r="D27" s="13" t="s">
        <v>12</v>
      </c>
      <c r="E27" s="14" t="s">
        <v>92</v>
      </c>
      <c r="F27" s="15" t="s">
        <v>35</v>
      </c>
      <c r="G27" s="12" t="n">
        <f aca="false">COUNTIF(GenAI!$C$2:$C$150,C27)</f>
        <v>6</v>
      </c>
      <c r="H27" s="12" t="str">
        <f aca="false">IF(G27&lt;=4,"3-4 min",IF(G27&lt;=6,"6-8 min","10-12 min"))</f>
        <v>6-8 min</v>
      </c>
      <c r="I27" s="13" t="s">
        <v>88</v>
      </c>
      <c r="J27" s="13" t="str">
        <f aca="false">IF(COUNTIFS(GenAI!$C$2:$C$150,C27,GenAI!$I$2:$I$150,"Done")=G27,"Done",IF(COUNTIFS(GenAI!$C$2:$C$150,C27,GenAI!$I$2:$I$150,"Not Started")=G27,"Not Started","In Progress"))</f>
        <v>Not Started</v>
      </c>
    </row>
    <row r="28" customFormat="false" ht="15" hidden="false" customHeight="false" outlineLevel="0" collapsed="false">
      <c r="A28" s="12" t="n">
        <v>27</v>
      </c>
      <c r="B28" s="13" t="s">
        <v>80</v>
      </c>
      <c r="C28" s="12" t="s">
        <v>93</v>
      </c>
      <c r="D28" s="13" t="s">
        <v>12</v>
      </c>
      <c r="E28" s="14" t="s">
        <v>94</v>
      </c>
      <c r="F28" s="16" t="s">
        <v>66</v>
      </c>
      <c r="G28" s="12" t="n">
        <f aca="false">COUNTIF(GenAI!$C$2:$C$150,C28)</f>
        <v>4</v>
      </c>
      <c r="H28" s="12" t="str">
        <f aca="false">IF(G28&lt;=4,"3-4 min",IF(G28&lt;=6,"6-8 min","10-12 min"))</f>
        <v>3-4 min</v>
      </c>
      <c r="I28" s="13" t="s">
        <v>91</v>
      </c>
      <c r="J28" s="13" t="str">
        <f aca="false">IF(COUNTIFS(GenAI!$C$2:$C$150,C28,GenAI!$I$2:$I$150,"Done")=G28,"Done",IF(COUNTIFS(GenAI!$C$2:$C$150,C28,GenAI!$I$2:$I$150,"Not Started")=G28,"Not Started","In Progress"))</f>
        <v>Not Started</v>
      </c>
    </row>
    <row r="29" customFormat="false" ht="15" hidden="false" customHeight="false" outlineLevel="0" collapsed="false">
      <c r="A29" s="12" t="n">
        <v>28</v>
      </c>
      <c r="B29" s="13" t="s">
        <v>80</v>
      </c>
      <c r="C29" s="12" t="s">
        <v>95</v>
      </c>
      <c r="D29" s="13" t="s">
        <v>12</v>
      </c>
      <c r="E29" s="14" t="s">
        <v>96</v>
      </c>
      <c r="F29" s="15" t="s">
        <v>35</v>
      </c>
      <c r="G29" s="12" t="n">
        <f aca="false">COUNTIF(GenAI!$C$2:$C$150,C29)</f>
        <v>4</v>
      </c>
      <c r="H29" s="12" t="str">
        <f aca="false">IF(G29&lt;=4,"3-4 min",IF(G29&lt;=6,"6-8 min","10-12 min"))</f>
        <v>3-4 min</v>
      </c>
      <c r="I29" s="13" t="s">
        <v>93</v>
      </c>
      <c r="J29" s="13" t="str">
        <f aca="false">IF(COUNTIFS(GenAI!$C$2:$C$150,C29,GenAI!$I$2:$I$150,"Done")=G29,"Done",IF(COUNTIFS(GenAI!$C$2:$C$150,C29,GenAI!$I$2:$I$150,"Not Started")=G29,"Not Started","In Progress"))</f>
        <v>Not Started</v>
      </c>
    </row>
    <row r="30" customFormat="false" ht="15" hidden="false" customHeight="false" outlineLevel="0" collapsed="false">
      <c r="A30" s="12" t="n">
        <v>29</v>
      </c>
      <c r="B30" s="13" t="s">
        <v>80</v>
      </c>
      <c r="C30" s="12" t="s">
        <v>97</v>
      </c>
      <c r="D30" s="13" t="s">
        <v>12</v>
      </c>
      <c r="E30" s="14" t="s">
        <v>98</v>
      </c>
      <c r="F30" s="15" t="s">
        <v>35</v>
      </c>
      <c r="G30" s="12" t="n">
        <f aca="false">COUNTIF(GenAI!$C$2:$C$150,C30)</f>
        <v>4</v>
      </c>
      <c r="H30" s="12" t="str">
        <f aca="false">IF(G30&lt;=4,"3-4 min",IF(G30&lt;=6,"6-8 min","10-12 min"))</f>
        <v>3-4 min</v>
      </c>
      <c r="I30" s="13" t="s">
        <v>99</v>
      </c>
      <c r="J30" s="13" t="str">
        <f aca="false">IF(COUNTIFS(GenAI!$C$2:$C$150,C30,GenAI!$I$2:$I$150,"Done")=G30,"Done",IF(COUNTIFS(GenAI!$C$2:$C$150,C30,GenAI!$I$2:$I$150,"Not Started")=G30,"Not Started","In Progress"))</f>
        <v>Not Started</v>
      </c>
    </row>
    <row r="31" customFormat="false" ht="15" hidden="false" customHeight="false" outlineLevel="0" collapsed="false">
      <c r="A31" s="12" t="n">
        <v>30</v>
      </c>
      <c r="B31" s="13" t="s">
        <v>80</v>
      </c>
      <c r="C31" s="12" t="s">
        <v>100</v>
      </c>
      <c r="D31" s="13" t="s">
        <v>12</v>
      </c>
      <c r="E31" s="14" t="s">
        <v>101</v>
      </c>
      <c r="F31" s="15" t="s">
        <v>35</v>
      </c>
      <c r="G31" s="12" t="n">
        <f aca="false">COUNTIF(GenAI!$C$2:$C$150,C31)</f>
        <v>6</v>
      </c>
      <c r="H31" s="12" t="str">
        <f aca="false">IF(G31&lt;=4,"3-4 min",IF(G31&lt;=6,"6-8 min","10-12 min"))</f>
        <v>6-8 min</v>
      </c>
      <c r="I31" s="13" t="s">
        <v>97</v>
      </c>
      <c r="J31" s="13" t="str">
        <f aca="false">IF(COUNTIFS(GenAI!$C$2:$C$150,C31,GenAI!$I$2:$I$150,"Done")=G31,"Done",IF(COUNTIFS(GenAI!$C$2:$C$150,C31,GenAI!$I$2:$I$150,"Not Started")=G31,"Not Started","In Progress"))</f>
        <v>Not Started</v>
      </c>
    </row>
    <row r="32" customFormat="false" ht="15" hidden="false" customHeight="false" outlineLevel="0" collapsed="false">
      <c r="A32" s="12" t="n">
        <v>31</v>
      </c>
      <c r="B32" s="13" t="s">
        <v>80</v>
      </c>
      <c r="C32" s="12" t="s">
        <v>102</v>
      </c>
      <c r="D32" s="13" t="s">
        <v>12</v>
      </c>
      <c r="E32" s="14" t="s">
        <v>103</v>
      </c>
      <c r="F32" s="15" t="s">
        <v>35</v>
      </c>
      <c r="G32" s="12" t="n">
        <f aca="false">COUNTIF(GenAI!$C$2:$C$150,C32)</f>
        <v>5</v>
      </c>
      <c r="H32" s="12" t="str">
        <f aca="false">IF(G32&lt;=4,"3-4 min",IF(G32&lt;=6,"6-8 min","10-12 min"))</f>
        <v>6-8 min</v>
      </c>
      <c r="I32" s="13" t="s">
        <v>100</v>
      </c>
      <c r="J32" s="13" t="str">
        <f aca="false">IF(COUNTIFS(GenAI!$C$2:$C$150,C32,GenAI!$I$2:$I$150,"Done")=G32,"Done",IF(COUNTIFS(GenAI!$C$2:$C$150,C32,GenAI!$I$2:$I$150,"Not Started")=G32,"Not Started","In Progress"))</f>
        <v>Not Started</v>
      </c>
    </row>
    <row r="33" customFormat="false" ht="15" hidden="false" customHeight="false" outlineLevel="0" collapsed="false">
      <c r="A33" s="12" t="n">
        <v>32</v>
      </c>
      <c r="B33" s="13" t="s">
        <v>80</v>
      </c>
      <c r="C33" s="12" t="s">
        <v>104</v>
      </c>
      <c r="D33" s="13" t="s">
        <v>12</v>
      </c>
      <c r="E33" s="14" t="s">
        <v>105</v>
      </c>
      <c r="F33" s="15" t="s">
        <v>35</v>
      </c>
      <c r="G33" s="12" t="n">
        <f aca="false">COUNTIF(GenAI!$C$2:$C$150,C33)</f>
        <v>4</v>
      </c>
      <c r="H33" s="12" t="str">
        <f aca="false">IF(G33&lt;=4,"3-4 min",IF(G33&lt;=6,"6-8 min","10-12 min"))</f>
        <v>3-4 min</v>
      </c>
      <c r="I33" s="13" t="s">
        <v>102</v>
      </c>
      <c r="J33" s="13" t="str">
        <f aca="false">IF(COUNTIFS(GenAI!$C$2:$C$150,C33,GenAI!$I$2:$I$150,"Done")=G33,"Done",IF(COUNTIFS(GenAI!$C$2:$C$150,C33,GenAI!$I$2:$I$150,"Not Started")=G33,"Not Started","In Progress"))</f>
        <v>Not Started</v>
      </c>
    </row>
    <row r="34" customFormat="false" ht="15" hidden="false" customHeight="false" outlineLevel="0" collapsed="false">
      <c r="A34" s="12" t="n">
        <v>33</v>
      </c>
      <c r="B34" s="13" t="s">
        <v>80</v>
      </c>
      <c r="C34" s="12" t="s">
        <v>106</v>
      </c>
      <c r="D34" s="13" t="s">
        <v>12</v>
      </c>
      <c r="E34" s="14" t="s">
        <v>107</v>
      </c>
      <c r="F34" s="16" t="s">
        <v>66</v>
      </c>
      <c r="G34" s="12" t="n">
        <f aca="false">COUNTIF(GenAI!$C$2:$C$150,C34)</f>
        <v>5</v>
      </c>
      <c r="H34" s="12" t="str">
        <f aca="false">IF(G34&lt;=4,"3-4 min",IF(G34&lt;=6,"6-8 min","10-12 min"))</f>
        <v>6-8 min</v>
      </c>
      <c r="I34" s="13" t="s">
        <v>104</v>
      </c>
      <c r="J34" s="13" t="str">
        <f aca="false">IF(COUNTIFS(GenAI!$C$2:$C$150,C34,GenAI!$I$2:$I$150,"Done")=G34,"Done",IF(COUNTIFS(GenAI!$C$2:$C$150,C34,GenAI!$I$2:$I$150,"Not Started")=G34,"Not Started","In Progress"))</f>
        <v>Not Started</v>
      </c>
    </row>
    <row r="35" customFormat="false" ht="15" hidden="false" customHeight="false" outlineLevel="0" collapsed="false">
      <c r="A35" s="12" t="n">
        <v>34</v>
      </c>
      <c r="B35" s="13" t="s">
        <v>108</v>
      </c>
      <c r="C35" s="12" t="s">
        <v>109</v>
      </c>
      <c r="D35" s="13" t="s">
        <v>11</v>
      </c>
      <c r="E35" s="14" t="s">
        <v>110</v>
      </c>
      <c r="F35" s="15" t="s">
        <v>35</v>
      </c>
      <c r="G35" s="12" t="n">
        <f aca="false">COUNTIF(Python!$C$2:$C$121,C35)</f>
        <v>6</v>
      </c>
      <c r="H35" s="12" t="str">
        <f aca="false">IF(G35&lt;=4,"3-4 min",IF(G35&lt;=6,"6-8 min","10-12 min"))</f>
        <v>6-8 min</v>
      </c>
      <c r="I35" s="13" t="s">
        <v>51</v>
      </c>
      <c r="J35" s="13" t="str">
        <f aca="false">IF(COUNTIFS(Python!$C$2:$C$121,C35,Python!$I$2:$I$121,"Done")=G35,"Done",IF(COUNTIFS(Python!$C$2:$C$121,C35,Python!$I$2:$I$121,"Not Started")=G35,"Not Started","In Progress"))</f>
        <v>Not Started</v>
      </c>
    </row>
    <row r="36" customFormat="false" ht="15" hidden="false" customHeight="false" outlineLevel="0" collapsed="false">
      <c r="A36" s="12" t="n">
        <v>35</v>
      </c>
      <c r="B36" s="13" t="s">
        <v>108</v>
      </c>
      <c r="C36" s="12" t="s">
        <v>111</v>
      </c>
      <c r="D36" s="13" t="s">
        <v>11</v>
      </c>
      <c r="E36" s="14" t="s">
        <v>112</v>
      </c>
      <c r="F36" s="16" t="s">
        <v>66</v>
      </c>
      <c r="G36" s="12" t="n">
        <f aca="false">COUNTIF(Python!$C$2:$C$121,C36)</f>
        <v>4</v>
      </c>
      <c r="H36" s="12" t="str">
        <f aca="false">IF(G36&lt;=4,"3-4 min",IF(G36&lt;=6,"6-8 min","10-12 min"))</f>
        <v>3-4 min</v>
      </c>
      <c r="I36" s="13" t="s">
        <v>109</v>
      </c>
      <c r="J36" s="13" t="str">
        <f aca="false">IF(COUNTIFS(Python!$C$2:$C$121,C36,Python!$I$2:$I$121,"Done")=G36,"Done",IF(COUNTIFS(Python!$C$2:$C$121,C36,Python!$I$2:$I$121,"Not Started")=G36,"Not Started","In Progress"))</f>
        <v>Not Started</v>
      </c>
    </row>
    <row r="37" customFormat="false" ht="15" hidden="false" customHeight="false" outlineLevel="0" collapsed="false">
      <c r="A37" s="12" t="n">
        <v>36</v>
      </c>
      <c r="B37" s="13" t="s">
        <v>108</v>
      </c>
      <c r="C37" s="12" t="s">
        <v>113</v>
      </c>
      <c r="D37" s="13" t="s">
        <v>11</v>
      </c>
      <c r="E37" s="14" t="s">
        <v>114</v>
      </c>
      <c r="F37" s="15" t="s">
        <v>35</v>
      </c>
      <c r="G37" s="12" t="n">
        <f aca="false">COUNTIF(Python!$C$2:$C$121,C37)</f>
        <v>4</v>
      </c>
      <c r="H37" s="12" t="str">
        <f aca="false">IF(G37&lt;=4,"3-4 min",IF(G37&lt;=6,"6-8 min","10-12 min"))</f>
        <v>3-4 min</v>
      </c>
      <c r="I37" s="13" t="s">
        <v>111</v>
      </c>
      <c r="J37" s="13" t="str">
        <f aca="false">IF(COUNTIFS(Python!$C$2:$C$121,C37,Python!$I$2:$I$121,"Done")=G37,"Done",IF(COUNTIFS(Python!$C$2:$C$121,C37,Python!$I$2:$I$121,"Not Started")=G37,"Not Started","In Progress"))</f>
        <v>Not Started</v>
      </c>
    </row>
    <row r="38" customFormat="false" ht="15" hidden="false" customHeight="false" outlineLevel="0" collapsed="false">
      <c r="A38" s="12" t="n">
        <v>37</v>
      </c>
      <c r="B38" s="13" t="s">
        <v>108</v>
      </c>
      <c r="C38" s="12" t="s">
        <v>115</v>
      </c>
      <c r="D38" s="13" t="s">
        <v>11</v>
      </c>
      <c r="E38" s="14" t="s">
        <v>116</v>
      </c>
      <c r="F38" s="15" t="s">
        <v>35</v>
      </c>
      <c r="G38" s="12" t="n">
        <f aca="false">COUNTIF(Python!$C$2:$C$121,C38)</f>
        <v>8</v>
      </c>
      <c r="H38" s="12" t="str">
        <f aca="false">IF(G38&lt;=4,"3-4 min",IF(G38&lt;=6,"6-8 min","10-12 min"))</f>
        <v>10-12 min</v>
      </c>
      <c r="I38" s="13" t="s">
        <v>113</v>
      </c>
      <c r="J38" s="13" t="str">
        <f aca="false">IF(COUNTIFS(Python!$C$2:$C$121,C38,Python!$I$2:$I$121,"Done")=G38,"Done",IF(COUNTIFS(Python!$C$2:$C$121,C38,Python!$I$2:$I$121,"Not Started")=G38,"Not Started","In Progress"))</f>
        <v>Not Started</v>
      </c>
    </row>
    <row r="39" customFormat="false" ht="15" hidden="false" customHeight="false" outlineLevel="0" collapsed="false">
      <c r="A39" s="12" t="n">
        <v>38</v>
      </c>
      <c r="B39" s="13" t="s">
        <v>108</v>
      </c>
      <c r="C39" s="12" t="s">
        <v>117</v>
      </c>
      <c r="D39" s="13" t="s">
        <v>11</v>
      </c>
      <c r="E39" s="14" t="s">
        <v>118</v>
      </c>
      <c r="F39" s="15" t="s">
        <v>35</v>
      </c>
      <c r="G39" s="12" t="n">
        <f aca="false">COUNTIF(Python!$C$2:$C$121,C39)</f>
        <v>5</v>
      </c>
      <c r="H39" s="12" t="str">
        <f aca="false">IF(G39&lt;=4,"3-4 min",IF(G39&lt;=6,"6-8 min","10-12 min"))</f>
        <v>6-8 min</v>
      </c>
      <c r="I39" s="13" t="s">
        <v>115</v>
      </c>
      <c r="J39" s="13" t="str">
        <f aca="false">IF(COUNTIFS(Python!$C$2:$C$121,C39,Python!$I$2:$I$121,"Done")=G39,"Done",IF(COUNTIFS(Python!$C$2:$C$121,C39,Python!$I$2:$I$121,"Not Started")=G39,"Not Started","In Progress"))</f>
        <v>Not Started</v>
      </c>
    </row>
    <row r="40" customFormat="false" ht="15" hidden="false" customHeight="false" outlineLevel="0" collapsed="false">
      <c r="A40" s="12" t="n">
        <v>39</v>
      </c>
      <c r="B40" s="13" t="s">
        <v>108</v>
      </c>
      <c r="C40" s="12" t="s">
        <v>119</v>
      </c>
      <c r="D40" s="13" t="s">
        <v>12</v>
      </c>
      <c r="E40" s="14" t="s">
        <v>120</v>
      </c>
      <c r="F40" s="15" t="s">
        <v>35</v>
      </c>
      <c r="G40" s="12" t="n">
        <f aca="false">COUNTIF(GenAI!$C$2:$C$150,C40)</f>
        <v>4</v>
      </c>
      <c r="H40" s="12" t="str">
        <f aca="false">IF(G40&lt;=4,"3-4 min",IF(G40&lt;=6,"6-8 min","10-12 min"))</f>
        <v>3-4 min</v>
      </c>
      <c r="I40" s="13" t="s">
        <v>97</v>
      </c>
      <c r="J40" s="13" t="str">
        <f aca="false">IF(COUNTIFS(GenAI!$C$2:$C$150,C40,GenAI!$I$2:$I$150,"Done")=G40,"Done",IF(COUNTIFS(GenAI!$C$2:$C$150,C40,GenAI!$I$2:$I$150,"Not Started")=G40,"Not Started","In Progress"))</f>
        <v>Not Started</v>
      </c>
    </row>
    <row r="41" customFormat="false" ht="15" hidden="false" customHeight="false" outlineLevel="0" collapsed="false">
      <c r="A41" s="12" t="n">
        <v>40</v>
      </c>
      <c r="B41" s="13" t="s">
        <v>108</v>
      </c>
      <c r="C41" s="12" t="s">
        <v>121</v>
      </c>
      <c r="D41" s="13" t="s">
        <v>12</v>
      </c>
      <c r="E41" s="14" t="s">
        <v>122</v>
      </c>
      <c r="F41" s="15" t="s">
        <v>35</v>
      </c>
      <c r="G41" s="12" t="n">
        <f aca="false">COUNTIF(GenAI!$C$2:$C$150,C41)</f>
        <v>6</v>
      </c>
      <c r="H41" s="12" t="str">
        <f aca="false">IF(G41&lt;=4,"3-4 min",IF(G41&lt;=6,"6-8 min","10-12 min"))</f>
        <v>6-8 min</v>
      </c>
      <c r="I41" s="13" t="s">
        <v>119</v>
      </c>
      <c r="J41" s="13" t="str">
        <f aca="false">IF(COUNTIFS(GenAI!$C$2:$C$150,C41,GenAI!$I$2:$I$150,"Done")=G41,"Done",IF(COUNTIFS(GenAI!$C$2:$C$150,C41,GenAI!$I$2:$I$150,"Not Started")=G41,"Not Started","In Progress"))</f>
        <v>Not Started</v>
      </c>
    </row>
    <row r="42" customFormat="false" ht="15" hidden="false" customHeight="false" outlineLevel="0" collapsed="false">
      <c r="A42" s="12" t="n">
        <v>41</v>
      </c>
      <c r="B42" s="13" t="s">
        <v>123</v>
      </c>
      <c r="C42" s="12" t="s">
        <v>124</v>
      </c>
      <c r="D42" s="13" t="s">
        <v>13</v>
      </c>
      <c r="E42" s="14" t="s">
        <v>125</v>
      </c>
      <c r="F42" s="15" t="s">
        <v>35</v>
      </c>
      <c r="G42" s="12" t="n">
        <f aca="false">COUNTIF('Agentic AI'!$C$2:$C$124,C42)</f>
        <v>5</v>
      </c>
      <c r="H42" s="12" t="str">
        <f aca="false">IF(G42&lt;=4,"3-4 min",IF(G42&lt;=6,"6-8 min","10-12 min"))</f>
        <v>6-8 min</v>
      </c>
      <c r="I42" s="13" t="s">
        <v>60</v>
      </c>
      <c r="J42" s="13" t="str">
        <f aca="false">IF(COUNTIFS('Agentic AI'!$C$2:$C$124,C42,'Agentic AI'!$I$2:$I$124,"Done")=G42,"Done",IF(COUNTIFS('Agentic AI'!$C$2:$C$124,C42,'Agentic AI'!$I$2:$I$124,"Not Started")=G42,"Not Started","In Progress"))</f>
        <v>Not Started</v>
      </c>
    </row>
    <row r="43" customFormat="false" ht="15" hidden="false" customHeight="false" outlineLevel="0" collapsed="false">
      <c r="A43" s="12" t="n">
        <v>42</v>
      </c>
      <c r="B43" s="13" t="s">
        <v>123</v>
      </c>
      <c r="C43" s="12" t="s">
        <v>126</v>
      </c>
      <c r="D43" s="13" t="s">
        <v>13</v>
      </c>
      <c r="E43" s="14" t="s">
        <v>127</v>
      </c>
      <c r="F43" s="15" t="s">
        <v>35</v>
      </c>
      <c r="G43" s="12" t="n">
        <f aca="false">COUNTIF('Agentic AI'!$C$2:$C$124,C43)</f>
        <v>6</v>
      </c>
      <c r="H43" s="12" t="str">
        <f aca="false">IF(G43&lt;=4,"3-4 min",IF(G43&lt;=6,"6-8 min","10-12 min"))</f>
        <v>6-8 min</v>
      </c>
      <c r="I43" s="13" t="s">
        <v>124</v>
      </c>
      <c r="J43" s="13" t="str">
        <f aca="false">IF(COUNTIFS('Agentic AI'!$C$2:$C$124,C43,'Agentic AI'!$I$2:$I$124,"Done")=G43,"Done",IF(COUNTIFS('Agentic AI'!$C$2:$C$124,C43,'Agentic AI'!$I$2:$I$124,"Not Started")=G43,"Not Started","In Progress"))</f>
        <v>Not Started</v>
      </c>
    </row>
    <row r="44" customFormat="false" ht="15" hidden="false" customHeight="false" outlineLevel="0" collapsed="false">
      <c r="A44" s="12" t="n">
        <v>43</v>
      </c>
      <c r="B44" s="13" t="s">
        <v>123</v>
      </c>
      <c r="C44" s="12" t="s">
        <v>128</v>
      </c>
      <c r="D44" s="13" t="s">
        <v>13</v>
      </c>
      <c r="E44" s="14" t="s">
        <v>129</v>
      </c>
      <c r="F44" s="16" t="s">
        <v>66</v>
      </c>
      <c r="G44" s="12" t="n">
        <f aca="false">COUNTIF('Agentic AI'!$C$2:$C$124,C44)</f>
        <v>4</v>
      </c>
      <c r="H44" s="12" t="str">
        <f aca="false">IF(G44&lt;=4,"3-4 min",IF(G44&lt;=6,"6-8 min","10-12 min"))</f>
        <v>3-4 min</v>
      </c>
      <c r="I44" s="13" t="s">
        <v>126</v>
      </c>
      <c r="J44" s="13" t="str">
        <f aca="false">IF(COUNTIFS('Agentic AI'!$C$2:$C$124,C44,'Agentic AI'!$I$2:$I$124,"Done")=G44,"Done",IF(COUNTIFS('Agentic AI'!$C$2:$C$124,C44,'Agentic AI'!$I$2:$I$124,"Not Started")=G44,"Not Started","In Progress"))</f>
        <v>Not Started</v>
      </c>
    </row>
    <row r="45" customFormat="false" ht="15" hidden="false" customHeight="false" outlineLevel="0" collapsed="false">
      <c r="A45" s="12" t="n">
        <v>44</v>
      </c>
      <c r="B45" s="13" t="s">
        <v>123</v>
      </c>
      <c r="C45" s="12" t="s">
        <v>130</v>
      </c>
      <c r="D45" s="13" t="s">
        <v>12</v>
      </c>
      <c r="E45" s="14" t="s">
        <v>131</v>
      </c>
      <c r="F45" s="15" t="s">
        <v>35</v>
      </c>
      <c r="G45" s="12" t="n">
        <f aca="false">COUNTIF(GenAI!$C$2:$C$150,C45)</f>
        <v>5</v>
      </c>
      <c r="H45" s="12" t="str">
        <f aca="false">IF(G45&lt;=4,"3-4 min",IF(G45&lt;=6,"6-8 min","10-12 min"))</f>
        <v>6-8 min</v>
      </c>
      <c r="I45" s="13" t="s">
        <v>132</v>
      </c>
      <c r="J45" s="13" t="str">
        <f aca="false">IF(COUNTIFS(GenAI!$C$2:$C$150,C45,GenAI!$I$2:$I$150,"Done")=G45,"Done",IF(COUNTIFS(GenAI!$C$2:$C$150,C45,GenAI!$I$2:$I$150,"Not Started")=G45,"Not Started","In Progress"))</f>
        <v>Not Started</v>
      </c>
    </row>
    <row r="46" customFormat="false" ht="15" hidden="false" customHeight="false" outlineLevel="0" collapsed="false">
      <c r="A46" s="12" t="n">
        <v>45</v>
      </c>
      <c r="B46" s="13" t="s">
        <v>123</v>
      </c>
      <c r="C46" s="12" t="s">
        <v>133</v>
      </c>
      <c r="D46" s="13" t="s">
        <v>12</v>
      </c>
      <c r="E46" s="14" t="s">
        <v>134</v>
      </c>
      <c r="F46" s="15" t="s">
        <v>35</v>
      </c>
      <c r="G46" s="12" t="n">
        <f aca="false">COUNTIF(GenAI!$C$2:$C$150,C46)</f>
        <v>4</v>
      </c>
      <c r="H46" s="12" t="str">
        <f aca="false">IF(G46&lt;=4,"3-4 min",IF(G46&lt;=6,"6-8 min","10-12 min"))</f>
        <v>3-4 min</v>
      </c>
      <c r="I46" s="13" t="s">
        <v>135</v>
      </c>
      <c r="J46" s="13" t="str">
        <f aca="false">IF(COUNTIFS(GenAI!$C$2:$C$150,C46,GenAI!$I$2:$I$150,"Done")=G46,"Done",IF(COUNTIFS(GenAI!$C$2:$C$150,C46,GenAI!$I$2:$I$150,"Not Started")=G46,"Not Started","In Progress"))</f>
        <v>Not Started</v>
      </c>
    </row>
    <row r="47" customFormat="false" ht="15" hidden="false" customHeight="false" outlineLevel="0" collapsed="false">
      <c r="A47" s="12" t="n">
        <v>46</v>
      </c>
      <c r="B47" s="13" t="s">
        <v>123</v>
      </c>
      <c r="C47" s="12" t="s">
        <v>136</v>
      </c>
      <c r="D47" s="13" t="s">
        <v>13</v>
      </c>
      <c r="E47" s="14" t="s">
        <v>137</v>
      </c>
      <c r="F47" s="15" t="s">
        <v>35</v>
      </c>
      <c r="G47" s="12" t="n">
        <f aca="false">COUNTIF('Agentic AI'!$C$2:$C$124,C47)</f>
        <v>5</v>
      </c>
      <c r="H47" s="12" t="str">
        <f aca="false">IF(G47&lt;=4,"3-4 min",IF(G47&lt;=6,"6-8 min","10-12 min"))</f>
        <v>6-8 min</v>
      </c>
      <c r="I47" s="13" t="s">
        <v>126</v>
      </c>
      <c r="J47" s="13" t="str">
        <f aca="false">IF(COUNTIFS('Agentic AI'!$C$2:$C$124,C47,'Agentic AI'!$I$2:$I$124,"Done")=G47,"Done",IF(COUNTIFS('Agentic AI'!$C$2:$C$124,C47,'Agentic AI'!$I$2:$I$124,"Not Started")=G47,"Not Started","In Progress"))</f>
        <v>Not Started</v>
      </c>
    </row>
    <row r="48" customFormat="false" ht="15" hidden="false" customHeight="false" outlineLevel="0" collapsed="false">
      <c r="A48" s="12" t="n">
        <v>47</v>
      </c>
      <c r="B48" s="13" t="s">
        <v>123</v>
      </c>
      <c r="C48" s="12" t="s">
        <v>138</v>
      </c>
      <c r="D48" s="13" t="s">
        <v>13</v>
      </c>
      <c r="E48" s="14" t="s">
        <v>139</v>
      </c>
      <c r="F48" s="15" t="s">
        <v>35</v>
      </c>
      <c r="G48" s="12" t="n">
        <f aca="false">COUNTIF('Agentic AI'!$C$2:$C$124,C48)</f>
        <v>5</v>
      </c>
      <c r="H48" s="12" t="str">
        <f aca="false">IF(G48&lt;=4,"3-4 min",IF(G48&lt;=6,"6-8 min","10-12 min"))</f>
        <v>6-8 min</v>
      </c>
      <c r="I48" s="13" t="s">
        <v>136</v>
      </c>
      <c r="J48" s="13" t="str">
        <f aca="false">IF(COUNTIFS('Agentic AI'!$C$2:$C$124,C48,'Agentic AI'!$I$2:$I$124,"Done")=G48,"Done",IF(COUNTIFS('Agentic AI'!$C$2:$C$124,C48,'Agentic AI'!$I$2:$I$124,"Not Started")=G48,"Not Started","In Progress"))</f>
        <v>Not Started</v>
      </c>
    </row>
    <row r="49" customFormat="false" ht="15" hidden="false" customHeight="false" outlineLevel="0" collapsed="false">
      <c r="A49" s="12" t="n">
        <v>48</v>
      </c>
      <c r="B49" s="13" t="s">
        <v>123</v>
      </c>
      <c r="C49" s="12" t="s">
        <v>140</v>
      </c>
      <c r="D49" s="13" t="s">
        <v>13</v>
      </c>
      <c r="E49" s="14" t="s">
        <v>141</v>
      </c>
      <c r="F49" s="15" t="s">
        <v>35</v>
      </c>
      <c r="G49" s="12" t="n">
        <f aca="false">COUNTIF('Agentic AI'!$C$2:$C$124,C49)</f>
        <v>4</v>
      </c>
      <c r="H49" s="12" t="str">
        <f aca="false">IF(G49&lt;=4,"3-4 min",IF(G49&lt;=6,"6-8 min","10-12 min"))</f>
        <v>3-4 min</v>
      </c>
      <c r="I49" s="13" t="s">
        <v>138</v>
      </c>
      <c r="J49" s="13" t="str">
        <f aca="false">IF(COUNTIFS('Agentic AI'!$C$2:$C$124,C49,'Agentic AI'!$I$2:$I$124,"Done")=G49,"Done",IF(COUNTIFS('Agentic AI'!$C$2:$C$124,C49,'Agentic AI'!$I$2:$I$124,"Not Started")=G49,"Not Started","In Progress"))</f>
        <v>Not Started</v>
      </c>
    </row>
    <row r="50" customFormat="false" ht="15" hidden="false" customHeight="false" outlineLevel="0" collapsed="false">
      <c r="A50" s="12" t="n">
        <v>49</v>
      </c>
      <c r="B50" s="13" t="s">
        <v>123</v>
      </c>
      <c r="C50" s="12" t="s">
        <v>142</v>
      </c>
      <c r="D50" s="13" t="s">
        <v>13</v>
      </c>
      <c r="E50" s="14" t="s">
        <v>143</v>
      </c>
      <c r="F50" s="15" t="s">
        <v>35</v>
      </c>
      <c r="G50" s="12" t="n">
        <f aca="false">COUNTIF('Agentic AI'!$C$2:$C$124,C50)</f>
        <v>4</v>
      </c>
      <c r="H50" s="12" t="str">
        <f aca="false">IF(G50&lt;=4,"3-4 min",IF(G50&lt;=6,"6-8 min","10-12 min"))</f>
        <v>3-4 min</v>
      </c>
      <c r="I50" s="13" t="s">
        <v>140</v>
      </c>
      <c r="J50" s="13" t="str">
        <f aca="false">IF(COUNTIFS('Agentic AI'!$C$2:$C$124,C50,'Agentic AI'!$I$2:$I$124,"Done")=G50,"Done",IF(COUNTIFS('Agentic AI'!$C$2:$C$124,C50,'Agentic AI'!$I$2:$I$124,"Not Started")=G50,"Not Started","In Progress"))</f>
        <v>Not Started</v>
      </c>
    </row>
    <row r="51" customFormat="false" ht="15" hidden="false" customHeight="false" outlineLevel="0" collapsed="false">
      <c r="A51" s="12" t="n">
        <v>50</v>
      </c>
      <c r="B51" s="13" t="s">
        <v>123</v>
      </c>
      <c r="C51" s="12" t="s">
        <v>144</v>
      </c>
      <c r="D51" s="13" t="s">
        <v>13</v>
      </c>
      <c r="E51" s="14" t="s">
        <v>145</v>
      </c>
      <c r="F51" s="15" t="s">
        <v>35</v>
      </c>
      <c r="G51" s="12" t="n">
        <f aca="false">COUNTIF('Agentic AI'!$C$2:$C$124,C51)</f>
        <v>8</v>
      </c>
      <c r="H51" s="12" t="str">
        <f aca="false">IF(G51&lt;=4,"3-4 min",IF(G51&lt;=6,"6-8 min","10-12 min"))</f>
        <v>10-12 min</v>
      </c>
      <c r="I51" s="13" t="s">
        <v>146</v>
      </c>
      <c r="J51" s="13" t="str">
        <f aca="false">IF(COUNTIFS('Agentic AI'!$C$2:$C$124,C51,'Agentic AI'!$I$2:$I$124,"Done")=G51,"Done",IF(COUNTIFS('Agentic AI'!$C$2:$C$124,C51,'Agentic AI'!$I$2:$I$124,"Not Started")=G51,"Not Started","In Progress"))</f>
        <v>Not Started</v>
      </c>
    </row>
    <row r="52" customFormat="false" ht="15" hidden="false" customHeight="false" outlineLevel="0" collapsed="false">
      <c r="A52" s="12" t="n">
        <v>51</v>
      </c>
      <c r="B52" s="13" t="s">
        <v>123</v>
      </c>
      <c r="C52" s="12" t="s">
        <v>147</v>
      </c>
      <c r="D52" s="13" t="s">
        <v>13</v>
      </c>
      <c r="E52" s="14" t="s">
        <v>148</v>
      </c>
      <c r="F52" s="15" t="s">
        <v>35</v>
      </c>
      <c r="G52" s="12" t="n">
        <f aca="false">COUNTIF('Agentic AI'!$C$2:$C$124,C52)</f>
        <v>6</v>
      </c>
      <c r="H52" s="12" t="str">
        <f aca="false">IF(G52&lt;=4,"3-4 min",IF(G52&lt;=6,"6-8 min","10-12 min"))</f>
        <v>6-8 min</v>
      </c>
      <c r="I52" s="13" t="s">
        <v>149</v>
      </c>
      <c r="J52" s="13" t="str">
        <f aca="false">IF(COUNTIFS('Agentic AI'!$C$2:$C$124,C52,'Agentic AI'!$I$2:$I$124,"Done")=G52,"Done",IF(COUNTIFS('Agentic AI'!$C$2:$C$124,C52,'Agentic AI'!$I$2:$I$124,"Not Started")=G52,"Not Started","In Progress"))</f>
        <v>Not Started</v>
      </c>
    </row>
    <row r="53" customFormat="false" ht="15" hidden="false" customHeight="false" outlineLevel="0" collapsed="false">
      <c r="A53" s="12" t="n">
        <v>52</v>
      </c>
      <c r="B53" s="13" t="s">
        <v>150</v>
      </c>
      <c r="C53" s="12" t="s">
        <v>151</v>
      </c>
      <c r="D53" s="13" t="s">
        <v>13</v>
      </c>
      <c r="E53" s="14" t="s">
        <v>152</v>
      </c>
      <c r="F53" s="15" t="s">
        <v>35</v>
      </c>
      <c r="G53" s="12" t="n">
        <f aca="false">COUNTIF('Agentic AI'!$C$2:$C$124,C53)</f>
        <v>5</v>
      </c>
      <c r="H53" s="12" t="str">
        <f aca="false">IF(G53&lt;=4,"3-4 min",IF(G53&lt;=6,"6-8 min","10-12 min"))</f>
        <v>6-8 min</v>
      </c>
      <c r="I53" s="13" t="s">
        <v>124</v>
      </c>
      <c r="J53" s="13" t="str">
        <f aca="false">IF(COUNTIFS('Agentic AI'!$C$2:$C$124,C53,'Agentic AI'!$I$2:$I$124,"Done")=G53,"Done",IF(COUNTIFS('Agentic AI'!$C$2:$C$124,C53,'Agentic AI'!$I$2:$I$124,"Not Started")=G53,"Not Started","In Progress"))</f>
        <v>Not Started</v>
      </c>
    </row>
    <row r="54" customFormat="false" ht="15" hidden="false" customHeight="false" outlineLevel="0" collapsed="false">
      <c r="A54" s="12" t="n">
        <v>53</v>
      </c>
      <c r="B54" s="13" t="s">
        <v>150</v>
      </c>
      <c r="C54" s="12" t="s">
        <v>153</v>
      </c>
      <c r="D54" s="13" t="s">
        <v>13</v>
      </c>
      <c r="E54" s="14" t="s">
        <v>154</v>
      </c>
      <c r="F54" s="16" t="s">
        <v>66</v>
      </c>
      <c r="G54" s="12" t="n">
        <f aca="false">COUNTIF('Agentic AI'!$C$2:$C$124,C54)</f>
        <v>4</v>
      </c>
      <c r="H54" s="12" t="str">
        <f aca="false">IF(G54&lt;=4,"3-4 min",IF(G54&lt;=6,"6-8 min","10-12 min"))</f>
        <v>3-4 min</v>
      </c>
      <c r="I54" s="13" t="s">
        <v>151</v>
      </c>
      <c r="J54" s="13" t="str">
        <f aca="false">IF(COUNTIFS('Agentic AI'!$C$2:$C$124,C54,'Agentic AI'!$I$2:$I$124,"Done")=G54,"Done",IF(COUNTIFS('Agentic AI'!$C$2:$C$124,C54,'Agentic AI'!$I$2:$I$124,"Not Started")=G54,"Not Started","In Progress"))</f>
        <v>Not Started</v>
      </c>
    </row>
    <row r="55" customFormat="false" ht="15" hidden="false" customHeight="false" outlineLevel="0" collapsed="false">
      <c r="A55" s="12" t="n">
        <v>54</v>
      </c>
      <c r="B55" s="13" t="s">
        <v>150</v>
      </c>
      <c r="C55" s="12" t="s">
        <v>155</v>
      </c>
      <c r="D55" s="13" t="s">
        <v>13</v>
      </c>
      <c r="E55" s="14" t="s">
        <v>156</v>
      </c>
      <c r="F55" s="15" t="s">
        <v>35</v>
      </c>
      <c r="G55" s="12" t="n">
        <f aca="false">COUNTIF('Agentic AI'!$C$2:$C$124,C55)</f>
        <v>4</v>
      </c>
      <c r="H55" s="12" t="str">
        <f aca="false">IF(G55&lt;=4,"3-4 min",IF(G55&lt;=6,"6-8 min","10-12 min"))</f>
        <v>3-4 min</v>
      </c>
      <c r="I55" s="13" t="s">
        <v>153</v>
      </c>
      <c r="J55" s="13" t="str">
        <f aca="false">IF(COUNTIFS('Agentic AI'!$C$2:$C$124,C55,'Agentic AI'!$I$2:$I$124,"Done")=G55,"Done",IF(COUNTIFS('Agentic AI'!$C$2:$C$124,C55,'Agentic AI'!$I$2:$I$124,"Not Started")=G55,"Not Started","In Progress"))</f>
        <v>Not Started</v>
      </c>
    </row>
    <row r="56" customFormat="false" ht="15" hidden="false" customHeight="false" outlineLevel="0" collapsed="false">
      <c r="A56" s="12" t="n">
        <v>55</v>
      </c>
      <c r="B56" s="13" t="s">
        <v>150</v>
      </c>
      <c r="C56" s="12" t="s">
        <v>157</v>
      </c>
      <c r="D56" s="13" t="s">
        <v>13</v>
      </c>
      <c r="E56" s="14" t="s">
        <v>158</v>
      </c>
      <c r="F56" s="15" t="s">
        <v>35</v>
      </c>
      <c r="G56" s="12" t="n">
        <f aca="false">COUNTIF('Agentic AI'!$C$2:$C$124,C56)</f>
        <v>4</v>
      </c>
      <c r="H56" s="12" t="str">
        <f aca="false">IF(G56&lt;=4,"3-4 min",IF(G56&lt;=6,"6-8 min","10-12 min"))</f>
        <v>3-4 min</v>
      </c>
      <c r="I56" s="13" t="s">
        <v>155</v>
      </c>
      <c r="J56" s="13" t="str">
        <f aca="false">IF(COUNTIFS('Agentic AI'!$C$2:$C$124,C56,'Agentic AI'!$I$2:$I$124,"Done")=G56,"Done",IF(COUNTIFS('Agentic AI'!$C$2:$C$124,C56,'Agentic AI'!$I$2:$I$124,"Not Started")=G56,"Not Started","In Progress"))</f>
        <v>Not Started</v>
      </c>
    </row>
    <row r="57" customFormat="false" ht="15" hidden="false" customHeight="false" outlineLevel="0" collapsed="false">
      <c r="A57" s="12" t="n">
        <v>56</v>
      </c>
      <c r="B57" s="13" t="s">
        <v>150</v>
      </c>
      <c r="C57" s="12" t="s">
        <v>159</v>
      </c>
      <c r="D57" s="13" t="s">
        <v>13</v>
      </c>
      <c r="E57" s="14" t="s">
        <v>160</v>
      </c>
      <c r="F57" s="16" t="s">
        <v>66</v>
      </c>
      <c r="G57" s="12" t="n">
        <f aca="false">COUNTIF('Agentic AI'!$C$2:$C$124,C57)</f>
        <v>5</v>
      </c>
      <c r="H57" s="12" t="str">
        <f aca="false">IF(G57&lt;=4,"3-4 min",IF(G57&lt;=6,"6-8 min","10-12 min"))</f>
        <v>6-8 min</v>
      </c>
      <c r="I57" s="13" t="s">
        <v>157</v>
      </c>
      <c r="J57" s="13" t="str">
        <f aca="false">IF(COUNTIFS('Agentic AI'!$C$2:$C$124,C57,'Agentic AI'!$I$2:$I$124,"Done")=G57,"Done",IF(COUNTIFS('Agentic AI'!$C$2:$C$124,C57,'Agentic AI'!$I$2:$I$124,"Not Started")=G57,"Not Started","In Progress"))</f>
        <v>Not Started</v>
      </c>
    </row>
    <row r="58" customFormat="false" ht="15" hidden="false" customHeight="false" outlineLevel="0" collapsed="false">
      <c r="A58" s="12" t="n">
        <v>57</v>
      </c>
      <c r="B58" s="13" t="s">
        <v>150</v>
      </c>
      <c r="C58" s="12" t="s">
        <v>161</v>
      </c>
      <c r="D58" s="13" t="s">
        <v>13</v>
      </c>
      <c r="E58" s="14" t="s">
        <v>162</v>
      </c>
      <c r="F58" s="15" t="s">
        <v>35</v>
      </c>
      <c r="G58" s="12" t="n">
        <f aca="false">COUNTIF('Agentic AI'!$C$2:$C$124,C58)</f>
        <v>6</v>
      </c>
      <c r="H58" s="12" t="str">
        <f aca="false">IF(G58&lt;=4,"3-4 min",IF(G58&lt;=6,"6-8 min","10-12 min"))</f>
        <v>6-8 min</v>
      </c>
      <c r="I58" s="13" t="s">
        <v>163</v>
      </c>
      <c r="J58" s="13" t="str">
        <f aca="false">IF(COUNTIFS('Agentic AI'!$C$2:$C$124,C58,'Agentic AI'!$I$2:$I$124,"Done")=G58,"Done",IF(COUNTIFS('Agentic AI'!$C$2:$C$124,C58,'Agentic AI'!$I$2:$I$124,"Not Started")=G58,"Not Started","In Progress"))</f>
        <v>Not Started</v>
      </c>
    </row>
    <row r="59" customFormat="false" ht="15" hidden="false" customHeight="false" outlineLevel="0" collapsed="false">
      <c r="A59" s="12" t="n">
        <v>58</v>
      </c>
      <c r="B59" s="13" t="s">
        <v>150</v>
      </c>
      <c r="C59" s="12" t="s">
        <v>164</v>
      </c>
      <c r="D59" s="13" t="s">
        <v>13</v>
      </c>
      <c r="E59" s="14" t="s">
        <v>165</v>
      </c>
      <c r="F59" s="15" t="s">
        <v>35</v>
      </c>
      <c r="G59" s="12" t="n">
        <f aca="false">COUNTIF('Agentic AI'!$C$2:$C$124,C59)</f>
        <v>3</v>
      </c>
      <c r="H59" s="12" t="str">
        <f aca="false">IF(G59&lt;=4,"3-4 min",IF(G59&lt;=6,"6-8 min","10-12 min"))</f>
        <v>3-4 min</v>
      </c>
      <c r="I59" s="13" t="s">
        <v>161</v>
      </c>
      <c r="J59" s="13" t="str">
        <f aca="false">IF(COUNTIFS('Agentic AI'!$C$2:$C$124,C59,'Agentic AI'!$I$2:$I$124,"Done")=G59,"Done",IF(COUNTIFS('Agentic AI'!$C$2:$C$124,C59,'Agentic AI'!$I$2:$I$124,"Not Started")=G59,"Not Started","In Progress"))</f>
        <v>Not Started</v>
      </c>
    </row>
    <row r="60" customFormat="false" ht="15" hidden="false" customHeight="false" outlineLevel="0" collapsed="false">
      <c r="A60" s="12" t="n">
        <v>59</v>
      </c>
      <c r="B60" s="13" t="s">
        <v>166</v>
      </c>
      <c r="C60" s="12" t="s">
        <v>167</v>
      </c>
      <c r="D60" s="13" t="s">
        <v>12</v>
      </c>
      <c r="E60" s="14" t="s">
        <v>168</v>
      </c>
      <c r="F60" s="15" t="s">
        <v>35</v>
      </c>
      <c r="G60" s="12" t="n">
        <f aca="false">COUNTIF(GenAI!$C$2:$C$150,C60)</f>
        <v>5</v>
      </c>
      <c r="H60" s="12" t="str">
        <f aca="false">IF(G60&lt;=4,"3-4 min",IF(G60&lt;=6,"6-8 min","10-12 min"))</f>
        <v>6-8 min</v>
      </c>
      <c r="I60" s="13" t="s">
        <v>97</v>
      </c>
      <c r="J60" s="13" t="str">
        <f aca="false">IF(COUNTIFS(GenAI!$C$2:$C$150,C60,GenAI!$I$2:$I$150,"Done")=G60,"Done",IF(COUNTIFS(GenAI!$C$2:$C$150,C60,GenAI!$I$2:$I$150,"Not Started")=G60,"Not Started","In Progress"))</f>
        <v>Not Started</v>
      </c>
    </row>
    <row r="61" customFormat="false" ht="15" hidden="false" customHeight="false" outlineLevel="0" collapsed="false">
      <c r="A61" s="12" t="n">
        <v>60</v>
      </c>
      <c r="B61" s="13" t="s">
        <v>166</v>
      </c>
      <c r="C61" s="12" t="s">
        <v>169</v>
      </c>
      <c r="D61" s="13" t="s">
        <v>12</v>
      </c>
      <c r="E61" s="14" t="s">
        <v>170</v>
      </c>
      <c r="F61" s="15" t="s">
        <v>35</v>
      </c>
      <c r="G61" s="12" t="n">
        <f aca="false">COUNTIF(GenAI!$C$2:$C$150,C61)</f>
        <v>5</v>
      </c>
      <c r="H61" s="12" t="str">
        <f aca="false">IF(G61&lt;=4,"3-4 min",IF(G61&lt;=6,"6-8 min","10-12 min"))</f>
        <v>6-8 min</v>
      </c>
      <c r="I61" s="13" t="s">
        <v>167</v>
      </c>
      <c r="J61" s="13" t="str">
        <f aca="false">IF(COUNTIFS(GenAI!$C$2:$C$150,C61,GenAI!$I$2:$I$150,"Done")=G61,"Done",IF(COUNTIFS(GenAI!$C$2:$C$150,C61,GenAI!$I$2:$I$150,"Not Started")=G61,"Not Started","In Progress"))</f>
        <v>Not Started</v>
      </c>
    </row>
    <row r="62" customFormat="false" ht="15" hidden="false" customHeight="false" outlineLevel="0" collapsed="false">
      <c r="A62" s="12" t="n">
        <v>61</v>
      </c>
      <c r="B62" s="13" t="s">
        <v>166</v>
      </c>
      <c r="C62" s="12" t="s">
        <v>171</v>
      </c>
      <c r="D62" s="13" t="s">
        <v>12</v>
      </c>
      <c r="E62" s="14" t="s">
        <v>172</v>
      </c>
      <c r="F62" s="15" t="s">
        <v>35</v>
      </c>
      <c r="G62" s="12" t="n">
        <f aca="false">COUNTIF(GenAI!$C$2:$C$150,C62)</f>
        <v>4</v>
      </c>
      <c r="H62" s="12" t="str">
        <f aca="false">IF(G62&lt;=4,"3-4 min",IF(G62&lt;=6,"6-8 min","10-12 min"))</f>
        <v>3-4 min</v>
      </c>
      <c r="I62" s="13" t="s">
        <v>169</v>
      </c>
      <c r="J62" s="13" t="str">
        <f aca="false">IF(COUNTIFS(GenAI!$C$2:$C$150,C62,GenAI!$I$2:$I$150,"Done")=G62,"Done",IF(COUNTIFS(GenAI!$C$2:$C$150,C62,GenAI!$I$2:$I$150,"Not Started")=G62,"Not Started","In Progress"))</f>
        <v>Not Started</v>
      </c>
    </row>
    <row r="63" customFormat="false" ht="15" hidden="false" customHeight="false" outlineLevel="0" collapsed="false">
      <c r="A63" s="12" t="n">
        <v>62</v>
      </c>
      <c r="B63" s="13" t="s">
        <v>166</v>
      </c>
      <c r="C63" s="12" t="s">
        <v>173</v>
      </c>
      <c r="D63" s="13" t="s">
        <v>12</v>
      </c>
      <c r="E63" s="14" t="s">
        <v>174</v>
      </c>
      <c r="F63" s="15" t="s">
        <v>35</v>
      </c>
      <c r="G63" s="12" t="n">
        <f aca="false">COUNTIF(GenAI!$C$2:$C$150,C63)</f>
        <v>5</v>
      </c>
      <c r="H63" s="12" t="str">
        <f aca="false">IF(G63&lt;=4,"3-4 min",IF(G63&lt;=6,"6-8 min","10-12 min"))</f>
        <v>6-8 min</v>
      </c>
      <c r="I63" s="13" t="s">
        <v>171</v>
      </c>
      <c r="J63" s="13" t="str">
        <f aca="false">IF(COUNTIFS(GenAI!$C$2:$C$150,C63,GenAI!$I$2:$I$150,"Done")=G63,"Done",IF(COUNTIFS(GenAI!$C$2:$C$150,C63,GenAI!$I$2:$I$150,"Not Started")=G63,"Not Started","In Progress"))</f>
        <v>Not Started</v>
      </c>
    </row>
    <row r="64" customFormat="false" ht="15" hidden="false" customHeight="false" outlineLevel="0" collapsed="false">
      <c r="A64" s="12" t="n">
        <v>63</v>
      </c>
      <c r="B64" s="13" t="s">
        <v>166</v>
      </c>
      <c r="C64" s="12" t="s">
        <v>175</v>
      </c>
      <c r="D64" s="13" t="s">
        <v>12</v>
      </c>
      <c r="E64" s="14" t="s">
        <v>176</v>
      </c>
      <c r="F64" s="16" t="s">
        <v>66</v>
      </c>
      <c r="G64" s="12" t="n">
        <f aca="false">COUNTIF(GenAI!$C$2:$C$150,C64)</f>
        <v>4</v>
      </c>
      <c r="H64" s="12" t="str">
        <f aca="false">IF(G64&lt;=4,"3-4 min",IF(G64&lt;=6,"6-8 min","10-12 min"))</f>
        <v>3-4 min</v>
      </c>
      <c r="I64" s="13" t="s">
        <v>173</v>
      </c>
      <c r="J64" s="13" t="str">
        <f aca="false">IF(COUNTIFS(GenAI!$C$2:$C$150,C64,GenAI!$I$2:$I$150,"Done")=G64,"Done",IF(COUNTIFS(GenAI!$C$2:$C$150,C64,GenAI!$I$2:$I$150,"Not Started")=G64,"Not Started","In Progress"))</f>
        <v>Not Started</v>
      </c>
    </row>
    <row r="65" customFormat="false" ht="15" hidden="false" customHeight="false" outlineLevel="0" collapsed="false">
      <c r="A65" s="12" t="n">
        <v>64</v>
      </c>
      <c r="B65" s="13" t="s">
        <v>166</v>
      </c>
      <c r="C65" s="12" t="s">
        <v>177</v>
      </c>
      <c r="D65" s="13" t="s">
        <v>13</v>
      </c>
      <c r="E65" s="14" t="s">
        <v>178</v>
      </c>
      <c r="F65" s="15" t="s">
        <v>35</v>
      </c>
      <c r="G65" s="12" t="n">
        <f aca="false">COUNTIF('Agentic AI'!$C$2:$C$124,C65)</f>
        <v>5</v>
      </c>
      <c r="H65" s="12" t="str">
        <f aca="false">IF(G65&lt;=4,"3-4 min",IF(G65&lt;=6,"6-8 min","10-12 min"))</f>
        <v>6-8 min</v>
      </c>
      <c r="I65" s="13" t="s">
        <v>147</v>
      </c>
      <c r="J65" s="13" t="str">
        <f aca="false">IF(COUNTIFS('Agentic AI'!$C$2:$C$124,C65,'Agentic AI'!$I$2:$I$124,"Done")=G65,"Done",IF(COUNTIFS('Agentic AI'!$C$2:$C$124,C65,'Agentic AI'!$I$2:$I$124,"Not Started")=G65,"Not Started","In Progress"))</f>
        <v>Not Started</v>
      </c>
    </row>
    <row r="66" customFormat="false" ht="15" hidden="false" customHeight="false" outlineLevel="0" collapsed="false">
      <c r="A66" s="12" t="n">
        <v>65</v>
      </c>
      <c r="B66" s="13" t="s">
        <v>166</v>
      </c>
      <c r="C66" s="12" t="s">
        <v>179</v>
      </c>
      <c r="D66" s="13" t="s">
        <v>13</v>
      </c>
      <c r="E66" s="14" t="s">
        <v>180</v>
      </c>
      <c r="F66" s="15" t="s">
        <v>35</v>
      </c>
      <c r="G66" s="12" t="n">
        <f aca="false">COUNTIF('Agentic AI'!$C$2:$C$124,C66)</f>
        <v>6</v>
      </c>
      <c r="H66" s="12" t="str">
        <f aca="false">IF(G66&lt;=4,"3-4 min",IF(G66&lt;=6,"6-8 min","10-12 min"))</f>
        <v>6-8 min</v>
      </c>
      <c r="I66" s="13" t="s">
        <v>177</v>
      </c>
      <c r="J66" s="13" t="str">
        <f aca="false">IF(COUNTIFS('Agentic AI'!$C$2:$C$124,C66,'Agentic AI'!$I$2:$I$124,"Done")=G66,"Done",IF(COUNTIFS('Agentic AI'!$C$2:$C$124,C66,'Agentic AI'!$I$2:$I$124,"Not Started")=G66,"Not Started","In Progress"))</f>
        <v>Not Started</v>
      </c>
    </row>
    <row r="67" customFormat="false" ht="15" hidden="false" customHeight="false" outlineLevel="0" collapsed="false">
      <c r="A67" s="12" t="n">
        <v>66</v>
      </c>
      <c r="B67" s="13" t="s">
        <v>166</v>
      </c>
      <c r="C67" s="12" t="s">
        <v>181</v>
      </c>
      <c r="D67" s="13" t="s">
        <v>13</v>
      </c>
      <c r="E67" s="14" t="s">
        <v>182</v>
      </c>
      <c r="F67" s="15" t="s">
        <v>35</v>
      </c>
      <c r="G67" s="12" t="n">
        <f aca="false">COUNTIF('Agentic AI'!$C$2:$C$124,C67)</f>
        <v>7</v>
      </c>
      <c r="H67" s="12" t="str">
        <f aca="false">IF(G67&lt;=4,"3-4 min",IF(G67&lt;=6,"6-8 min","10-12 min"))</f>
        <v>10-12 min</v>
      </c>
      <c r="I67" s="13" t="s">
        <v>179</v>
      </c>
      <c r="J67" s="13" t="str">
        <f aca="false">IF(COUNTIFS('Agentic AI'!$C$2:$C$124,C67,'Agentic AI'!$I$2:$I$124,"Done")=G67,"Done",IF(COUNTIFS('Agentic AI'!$C$2:$C$124,C67,'Agentic AI'!$I$2:$I$124,"Not Started")=G67,"Not Started","In Progress"))</f>
        <v>Not Started</v>
      </c>
    </row>
    <row r="68" customFormat="false" ht="15" hidden="false" customHeight="false" outlineLevel="0" collapsed="false">
      <c r="A68" s="12" t="n">
        <v>67</v>
      </c>
      <c r="B68" s="13" t="s">
        <v>166</v>
      </c>
      <c r="C68" s="12" t="s">
        <v>183</v>
      </c>
      <c r="D68" s="13" t="s">
        <v>13</v>
      </c>
      <c r="E68" s="14" t="s">
        <v>184</v>
      </c>
      <c r="F68" s="15" t="s">
        <v>35</v>
      </c>
      <c r="G68" s="12" t="n">
        <f aca="false">COUNTIF('Agentic AI'!$C$2:$C$124,C68)</f>
        <v>5</v>
      </c>
      <c r="H68" s="12" t="str">
        <f aca="false">IF(G68&lt;=4,"3-4 min",IF(G68&lt;=6,"6-8 min","10-12 min"))</f>
        <v>6-8 min</v>
      </c>
      <c r="I68" s="13" t="s">
        <v>181</v>
      </c>
      <c r="J68" s="13" t="str">
        <f aca="false">IF(COUNTIFS('Agentic AI'!$C$2:$C$124,C68,'Agentic AI'!$I$2:$I$124,"Done")=G68,"Done",IF(COUNTIFS('Agentic AI'!$C$2:$C$124,C68,'Agentic AI'!$I$2:$I$124,"Not Started")=G68,"Not Started","In Progress"))</f>
        <v>Not Started</v>
      </c>
    </row>
    <row r="69" customFormat="false" ht="15" hidden="false" customHeight="false" outlineLevel="0" collapsed="false">
      <c r="A69" s="12" t="n">
        <v>68</v>
      </c>
      <c r="B69" s="13" t="s">
        <v>166</v>
      </c>
      <c r="C69" s="12" t="s">
        <v>185</v>
      </c>
      <c r="D69" s="13" t="s">
        <v>11</v>
      </c>
      <c r="E69" s="14" t="s">
        <v>186</v>
      </c>
      <c r="F69" s="15" t="s">
        <v>35</v>
      </c>
      <c r="G69" s="12" t="n">
        <f aca="false">COUNTIF(Python!$C$2:$C$121,C69)</f>
        <v>4</v>
      </c>
      <c r="H69" s="12" t="str">
        <f aca="false">IF(G69&lt;=4,"3-4 min",IF(G69&lt;=6,"6-8 min","10-12 min"))</f>
        <v>3-4 min</v>
      </c>
      <c r="I69" s="13" t="s">
        <v>183</v>
      </c>
      <c r="J69" s="13" t="str">
        <f aca="false">IF(COUNTIFS(Python!$C$2:$C$121,C69,Python!$I$2:$I$121,"Done")=G69,"Done",IF(COUNTIFS(Python!$C$2:$C$121,C69,Python!$I$2:$I$121,"Not Started")=G69,"Not Started","In Progress"))</f>
        <v>Not Started</v>
      </c>
    </row>
    <row r="70" customFormat="false" ht="15" hidden="false" customHeight="false" outlineLevel="0" collapsed="false">
      <c r="A70" s="12" t="n">
        <v>69</v>
      </c>
      <c r="B70" s="13" t="s">
        <v>187</v>
      </c>
      <c r="C70" s="12" t="s">
        <v>188</v>
      </c>
      <c r="D70" s="13" t="s">
        <v>13</v>
      </c>
      <c r="E70" s="14" t="s">
        <v>189</v>
      </c>
      <c r="F70" s="15" t="s">
        <v>35</v>
      </c>
      <c r="G70" s="12" t="n">
        <f aca="false">COUNTIF('Agentic AI'!$C$2:$C$124,C70)</f>
        <v>5</v>
      </c>
      <c r="H70" s="12" t="str">
        <f aca="false">IF(G70&lt;=4,"3-4 min",IF(G70&lt;=6,"6-8 min","10-12 min"))</f>
        <v>6-8 min</v>
      </c>
      <c r="I70" s="13" t="s">
        <v>190</v>
      </c>
      <c r="J70" s="13" t="str">
        <f aca="false">IF(COUNTIFS('Agentic AI'!$C$2:$C$124,C70,'Agentic AI'!$I$2:$I$124,"Done")=G70,"Done",IF(COUNTIFS('Agentic AI'!$C$2:$C$124,C70,'Agentic AI'!$I$2:$I$124,"Not Started")=G70,"Not Started","In Progress"))</f>
        <v>Not Started</v>
      </c>
    </row>
    <row r="71" customFormat="false" ht="15" hidden="false" customHeight="false" outlineLevel="0" collapsed="false">
      <c r="A71" s="12" t="n">
        <v>70</v>
      </c>
      <c r="B71" s="13" t="s">
        <v>187</v>
      </c>
      <c r="C71" s="12" t="s">
        <v>191</v>
      </c>
      <c r="D71" s="13" t="s">
        <v>13</v>
      </c>
      <c r="E71" s="14" t="s">
        <v>192</v>
      </c>
      <c r="F71" s="15" t="s">
        <v>35</v>
      </c>
      <c r="G71" s="12" t="n">
        <f aca="false">COUNTIF('Agentic AI'!$C$2:$C$124,C71)</f>
        <v>4</v>
      </c>
      <c r="H71" s="12" t="str">
        <f aca="false">IF(G71&lt;=4,"3-4 min",IF(G71&lt;=6,"6-8 min","10-12 min"))</f>
        <v>3-4 min</v>
      </c>
      <c r="I71" s="13" t="s">
        <v>190</v>
      </c>
      <c r="J71" s="13" t="str">
        <f aca="false">IF(COUNTIFS('Agentic AI'!$C$2:$C$124,C71,'Agentic AI'!$I$2:$I$124,"Done")=G71,"Done",IF(COUNTIFS('Agentic AI'!$C$2:$C$124,C71,'Agentic AI'!$I$2:$I$124,"Not Started")=G71,"Not Started","In Progress"))</f>
        <v>Not Started</v>
      </c>
    </row>
    <row r="72" customFormat="false" ht="23.85" hidden="false" customHeight="false" outlineLevel="0" collapsed="false">
      <c r="A72" s="12" t="n">
        <v>71</v>
      </c>
      <c r="B72" s="13" t="s">
        <v>187</v>
      </c>
      <c r="C72" s="12" t="s">
        <v>193</v>
      </c>
      <c r="D72" s="13" t="s">
        <v>13</v>
      </c>
      <c r="E72" s="14" t="s">
        <v>194</v>
      </c>
      <c r="F72" s="16" t="s">
        <v>66</v>
      </c>
      <c r="G72" s="12" t="n">
        <f aca="false">COUNTIF('Agentic AI'!$C$2:$C$124,C72)</f>
        <v>3</v>
      </c>
      <c r="H72" s="12" t="str">
        <f aca="false">IF(G72&lt;=4,"3-4 min",IF(G72&lt;=6,"6-8 min","10-12 min"))</f>
        <v>3-4 min</v>
      </c>
      <c r="I72" s="13" t="s">
        <v>195</v>
      </c>
      <c r="J72" s="13" t="str">
        <f aca="false">IF(COUNTIFS('Agentic AI'!$C$2:$C$124,C72,'Agentic AI'!$I$2:$I$124,"Done")=G72,"Done",IF(COUNTIFS('Agentic AI'!$C$2:$C$124,C72,'Agentic AI'!$I$2:$I$124,"Not Started")=G72,"Not Started","In Progress"))</f>
        <v>Not Started</v>
      </c>
    </row>
    <row r="73" customFormat="false" ht="15" hidden="false" customHeight="false" outlineLevel="0" collapsed="false">
      <c r="A73" s="12" t="n">
        <v>72</v>
      </c>
      <c r="B73" s="13" t="s">
        <v>187</v>
      </c>
      <c r="C73" s="12" t="s">
        <v>196</v>
      </c>
      <c r="D73" s="13" t="s">
        <v>13</v>
      </c>
      <c r="E73" s="14" t="s">
        <v>197</v>
      </c>
      <c r="F73" s="16" t="s">
        <v>66</v>
      </c>
      <c r="G73" s="12" t="n">
        <f aca="false">COUNTIF('Agentic AI'!$C$2:$C$124,C73)</f>
        <v>3</v>
      </c>
      <c r="H73" s="12" t="str">
        <f aca="false">IF(G73&lt;=4,"3-4 min",IF(G73&lt;=6,"6-8 min","10-12 min"))</f>
        <v>3-4 min</v>
      </c>
      <c r="I73" s="13" t="s">
        <v>198</v>
      </c>
      <c r="J73" s="13" t="str">
        <f aca="false">IF(COUNTIFS('Agentic AI'!$C$2:$C$124,C73,'Agentic AI'!$I$2:$I$124,"Done")=G73,"Done",IF(COUNTIFS('Agentic AI'!$C$2:$C$124,C73,'Agentic AI'!$I$2:$I$124,"Not Started")=G73,"Not Started","In Progress"))</f>
        <v>Not Started</v>
      </c>
    </row>
    <row r="74" customFormat="false" ht="15" hidden="false" customHeight="false" outlineLevel="0" collapsed="false">
      <c r="A74" s="12" t="n">
        <v>73</v>
      </c>
      <c r="B74" s="13" t="s">
        <v>199</v>
      </c>
      <c r="C74" s="12" t="s">
        <v>200</v>
      </c>
      <c r="D74" s="13" t="s">
        <v>12</v>
      </c>
      <c r="E74" s="14" t="s">
        <v>201</v>
      </c>
      <c r="F74" s="15" t="s">
        <v>35</v>
      </c>
      <c r="G74" s="12" t="n">
        <f aca="false">COUNTIF(GenAI!$C$2:$C$150,C74)</f>
        <v>6</v>
      </c>
      <c r="H74" s="12" t="str">
        <f aca="false">IF(G74&lt;=4,"3-4 min",IF(G74&lt;=6,"6-8 min","10-12 min"))</f>
        <v>6-8 min</v>
      </c>
      <c r="I74" s="13" t="s">
        <v>104</v>
      </c>
      <c r="J74" s="13" t="str">
        <f aca="false">IF(COUNTIFS(GenAI!$C$2:$C$150,C74,GenAI!$I$2:$I$150,"Done")=G74,"Done",IF(COUNTIFS(GenAI!$C$2:$C$150,C74,GenAI!$I$2:$I$150,"Not Started")=G74,"Not Started","In Progress"))</f>
        <v>Not Started</v>
      </c>
    </row>
    <row r="75" customFormat="false" ht="15" hidden="false" customHeight="false" outlineLevel="0" collapsed="false">
      <c r="A75" s="12" t="n">
        <v>74</v>
      </c>
      <c r="B75" s="13" t="s">
        <v>199</v>
      </c>
      <c r="C75" s="12" t="s">
        <v>202</v>
      </c>
      <c r="D75" s="13" t="s">
        <v>12</v>
      </c>
      <c r="E75" s="14" t="s">
        <v>203</v>
      </c>
      <c r="F75" s="15" t="s">
        <v>35</v>
      </c>
      <c r="G75" s="12" t="n">
        <f aca="false">COUNTIF(GenAI!$C$2:$C$150,C75)</f>
        <v>8</v>
      </c>
      <c r="H75" s="12" t="str">
        <f aca="false">IF(G75&lt;=4,"3-4 min",IF(G75&lt;=6,"6-8 min","10-12 min"))</f>
        <v>10-12 min</v>
      </c>
      <c r="I75" s="13" t="s">
        <v>204</v>
      </c>
      <c r="J75" s="13" t="str">
        <f aca="false">IF(COUNTIFS(GenAI!$C$2:$C$150,C75,GenAI!$I$2:$I$150,"Done")=G75,"Done",IF(COUNTIFS(GenAI!$C$2:$C$150,C75,GenAI!$I$2:$I$150,"Not Started")=G75,"Not Started","In Progress"))</f>
        <v>Not Started</v>
      </c>
    </row>
    <row r="76" customFormat="false" ht="15" hidden="false" customHeight="false" outlineLevel="0" collapsed="false">
      <c r="A76" s="12" t="n">
        <v>75</v>
      </c>
      <c r="B76" s="13" t="s">
        <v>199</v>
      </c>
      <c r="C76" s="12" t="s">
        <v>205</v>
      </c>
      <c r="D76" s="13" t="s">
        <v>13</v>
      </c>
      <c r="E76" s="14" t="s">
        <v>203</v>
      </c>
      <c r="F76" s="15" t="s">
        <v>35</v>
      </c>
      <c r="G76" s="12" t="n">
        <f aca="false">COUNTIF('Agentic AI'!$C$2:$C$124,C76)</f>
        <v>7</v>
      </c>
      <c r="H76" s="12" t="str">
        <f aca="false">IF(G76&lt;=4,"3-4 min",IF(G76&lt;=6,"6-8 min","10-12 min"))</f>
        <v>10-12 min</v>
      </c>
      <c r="I76" s="13" t="s">
        <v>206</v>
      </c>
      <c r="J76" s="13" t="str">
        <f aca="false">IF(COUNTIFS('Agentic AI'!$C$2:$C$124,C76,'Agentic AI'!$I$2:$I$124,"Done")=G76,"Done",IF(COUNTIFS('Agentic AI'!$C$2:$C$124,C76,'Agentic AI'!$I$2:$I$124,"Not Started")=G76,"Not Started","In Progress"))</f>
        <v>Not Started</v>
      </c>
    </row>
    <row r="77" customFormat="false" ht="15" hidden="false" customHeight="false" outlineLevel="0" collapsed="false">
      <c r="A77" s="12" t="n">
        <v>76</v>
      </c>
      <c r="B77" s="13" t="s">
        <v>199</v>
      </c>
      <c r="C77" s="12" t="s">
        <v>207</v>
      </c>
      <c r="D77" s="13" t="s">
        <v>12</v>
      </c>
      <c r="E77" s="14" t="s">
        <v>208</v>
      </c>
      <c r="F77" s="16" t="s">
        <v>66</v>
      </c>
      <c r="G77" s="12" t="n">
        <f aca="false">COUNTIF(GenAI!$C$2:$C$150,C77)</f>
        <v>4</v>
      </c>
      <c r="H77" s="12" t="str">
        <f aca="false">IF(G77&lt;=4,"3-4 min",IF(G77&lt;=6,"6-8 min","10-12 min"))</f>
        <v>3-4 min</v>
      </c>
      <c r="I77" s="13" t="s">
        <v>205</v>
      </c>
      <c r="J77" s="13" t="str">
        <f aca="false">IF(COUNTIFS(GenAI!$C$2:$C$150,C77,GenAI!$I$2:$I$150,"Done")=G77,"Done",IF(COUNTIFS(GenAI!$C$2:$C$150,C77,GenAI!$I$2:$I$150,"Not Started")=G77,"Not Started","In Progress"))</f>
        <v>Not Started</v>
      </c>
    </row>
    <row r="78" customFormat="false" ht="15" hidden="false" customHeight="false" outlineLevel="0" collapsed="false">
      <c r="A78" s="12" t="n">
        <v>77</v>
      </c>
      <c r="B78" s="13" t="s">
        <v>199</v>
      </c>
      <c r="C78" s="12" t="s">
        <v>209</v>
      </c>
      <c r="D78" s="13" t="s">
        <v>12</v>
      </c>
      <c r="E78" s="14" t="s">
        <v>210</v>
      </c>
      <c r="F78" s="17" t="s">
        <v>211</v>
      </c>
      <c r="G78" s="12" t="n">
        <f aca="false">COUNTIF(GenAI!$C$2:$C$150,C78)</f>
        <v>4</v>
      </c>
      <c r="H78" s="12" t="str">
        <f aca="false">IF(G78&lt;=4,"3-4 min",IF(G78&lt;=6,"6-8 min","10-12 min"))</f>
        <v>3-4 min</v>
      </c>
      <c r="I78" s="13" t="s">
        <v>207</v>
      </c>
      <c r="J78" s="13" t="str">
        <f aca="false">IF(COUNTIFS(GenAI!$C$2:$C$150,C78,GenAI!$I$2:$I$150,"Done")=G78,"Done",IF(COUNTIFS(GenAI!$C$2:$C$150,C78,GenAI!$I$2:$I$150,"Not Started")=G78,"Not Started","In Progress"))</f>
        <v>Not Started</v>
      </c>
    </row>
    <row r="79" customFormat="false" ht="15" hidden="false" customHeight="false" outlineLevel="0" collapsed="false">
      <c r="A79" s="12" t="n">
        <v>78</v>
      </c>
      <c r="B79" s="13" t="s">
        <v>199</v>
      </c>
      <c r="C79" s="12" t="s">
        <v>212</v>
      </c>
      <c r="D79" s="13" t="s">
        <v>11</v>
      </c>
      <c r="E79" s="14" t="s">
        <v>213</v>
      </c>
      <c r="F79" s="17" t="s">
        <v>211</v>
      </c>
      <c r="G79" s="12" t="n">
        <f aca="false">COUNTIF(Python!$C$2:$C$121,C79)</f>
        <v>2</v>
      </c>
      <c r="H79" s="12" t="str">
        <f aca="false">IF(G79&lt;=4,"3-4 min",IF(G79&lt;=6,"6-8 min","10-12 min"))</f>
        <v>3-4 min</v>
      </c>
      <c r="I79" s="13" t="s">
        <v>209</v>
      </c>
      <c r="J79" s="13" t="str">
        <f aca="false">IF(COUNTIFS(Python!$C$2:$C$121,C79,Python!$I$2:$I$121,"Done")=G79,"Done",IF(COUNTIFS(Python!$C$2:$C$121,C79,Python!$I$2:$I$121,"Not Started")=G79,"Not Started","In Progress"))</f>
        <v>Not Started</v>
      </c>
    </row>
    <row r="80" customFormat="false" ht="15" hidden="false" customHeight="false" outlineLevel="0" collapsed="false">
      <c r="A80" s="12" t="n">
        <v>79</v>
      </c>
      <c r="B80" s="13" t="s">
        <v>199</v>
      </c>
      <c r="C80" s="12" t="s">
        <v>214</v>
      </c>
      <c r="D80" s="13" t="s">
        <v>11</v>
      </c>
      <c r="E80" s="14" t="s">
        <v>215</v>
      </c>
      <c r="F80" s="17" t="s">
        <v>211</v>
      </c>
      <c r="G80" s="12" t="n">
        <f aca="false">COUNTIF(Python!$C$2:$C$121,C80)</f>
        <v>2</v>
      </c>
      <c r="H80" s="12" t="str">
        <f aca="false">IF(G80&lt;=4,"3-4 min",IF(G80&lt;=6,"6-8 min","10-12 min"))</f>
        <v>3-4 min</v>
      </c>
      <c r="I80" s="13" t="s">
        <v>212</v>
      </c>
      <c r="J80" s="13" t="str">
        <f aca="false">IF(COUNTIFS(Python!$C$2:$C$121,C80,Python!$I$2:$I$121,"Done")=G80,"Done",IF(COUNTIFS(Python!$C$2:$C$121,C80,Python!$I$2:$I$121,"Not Started")=G80,"Not Started","In Progress"))</f>
        <v>Not Started</v>
      </c>
    </row>
    <row r="81" customFormat="false" ht="15" hidden="false" customHeight="false" outlineLevel="0" collapsed="false">
      <c r="A81" s="12" t="n">
        <v>80</v>
      </c>
      <c r="B81" s="13" t="s">
        <v>199</v>
      </c>
      <c r="C81" s="12" t="s">
        <v>216</v>
      </c>
      <c r="D81" s="13" t="s">
        <v>11</v>
      </c>
      <c r="E81" s="14" t="s">
        <v>217</v>
      </c>
      <c r="F81" s="17" t="s">
        <v>211</v>
      </c>
      <c r="G81" s="12" t="n">
        <f aca="false">COUNTIF(Python!$C$2:$C$121,C81)</f>
        <v>2</v>
      </c>
      <c r="H81" s="12" t="str">
        <f aca="false">IF(G81&lt;=4,"3-4 min",IF(G81&lt;=6,"6-8 min","10-12 min"))</f>
        <v>3-4 min</v>
      </c>
      <c r="I81" s="13" t="s">
        <v>214</v>
      </c>
      <c r="J81" s="13" t="str">
        <f aca="false">IF(COUNTIFS(Python!$C$2:$C$121,C81,Python!$I$2:$I$121,"Done")=G81,"Done",IF(COUNTIFS(Python!$C$2:$C$121,C81,Python!$I$2:$I$121,"Not Started")=G81,"Not Started","In Progress"))</f>
        <v>Not Started</v>
      </c>
    </row>
  </sheetData>
  <autoFilter ref="A1:J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48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7"/>
  </cols>
  <sheetData>
    <row r="1" customFormat="false" ht="30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218</v>
      </c>
      <c r="E1" s="3" t="s">
        <v>26</v>
      </c>
      <c r="F1" s="3" t="s">
        <v>219</v>
      </c>
      <c r="G1" s="3" t="s">
        <v>220</v>
      </c>
      <c r="H1" s="3" t="s">
        <v>27</v>
      </c>
      <c r="I1" s="3" t="s">
        <v>221</v>
      </c>
      <c r="J1" s="3" t="s">
        <v>222</v>
      </c>
    </row>
    <row r="2" customFormat="false" ht="23.85" hidden="false" customHeight="false" outlineLevel="0" collapsed="false">
      <c r="A2" s="18" t="n">
        <v>1</v>
      </c>
      <c r="B2" s="19" t="s">
        <v>32</v>
      </c>
      <c r="C2" s="19" t="s">
        <v>33</v>
      </c>
      <c r="D2" s="19" t="s">
        <v>223</v>
      </c>
      <c r="E2" s="20" t="s">
        <v>34</v>
      </c>
      <c r="F2" s="19" t="s">
        <v>224</v>
      </c>
      <c r="G2" s="19" t="s">
        <v>225</v>
      </c>
      <c r="H2" s="21" t="s">
        <v>35</v>
      </c>
      <c r="I2" s="19" t="s">
        <v>6</v>
      </c>
      <c r="J2" s="19" t="s">
        <v>6</v>
      </c>
    </row>
    <row r="3" customFormat="false" ht="23.85" hidden="false" customHeight="false" outlineLevel="0" collapsed="false">
      <c r="A3" s="18" t="n">
        <v>1</v>
      </c>
      <c r="B3" s="19" t="s">
        <v>32</v>
      </c>
      <c r="C3" s="19" t="s">
        <v>33</v>
      </c>
      <c r="D3" s="19" t="s">
        <v>223</v>
      </c>
      <c r="E3" s="20" t="s">
        <v>34</v>
      </c>
      <c r="F3" s="19" t="s">
        <v>226</v>
      </c>
      <c r="G3" s="19" t="s">
        <v>227</v>
      </c>
      <c r="H3" s="21" t="s">
        <v>35</v>
      </c>
      <c r="I3" s="19" t="s">
        <v>6</v>
      </c>
      <c r="J3" s="19" t="s">
        <v>6</v>
      </c>
    </row>
    <row r="4" customFormat="false" ht="23.85" hidden="false" customHeight="false" outlineLevel="0" collapsed="false">
      <c r="A4" s="18" t="n">
        <v>1</v>
      </c>
      <c r="B4" s="19" t="s">
        <v>32</v>
      </c>
      <c r="C4" s="19" t="s">
        <v>33</v>
      </c>
      <c r="D4" s="19" t="s">
        <v>223</v>
      </c>
      <c r="E4" s="20" t="s">
        <v>34</v>
      </c>
      <c r="F4" s="19" t="s">
        <v>228</v>
      </c>
      <c r="G4" s="19" t="s">
        <v>229</v>
      </c>
      <c r="H4" s="21" t="s">
        <v>35</v>
      </c>
      <c r="I4" s="19" t="s">
        <v>6</v>
      </c>
      <c r="J4" s="19" t="s">
        <v>6</v>
      </c>
    </row>
    <row r="5" customFormat="false" ht="23.85" hidden="false" customHeight="false" outlineLevel="0" collapsed="false">
      <c r="A5" s="18" t="n">
        <v>1</v>
      </c>
      <c r="B5" s="19" t="s">
        <v>32</v>
      </c>
      <c r="C5" s="19" t="s">
        <v>33</v>
      </c>
      <c r="D5" s="19" t="s">
        <v>223</v>
      </c>
      <c r="E5" s="20" t="s">
        <v>34</v>
      </c>
      <c r="F5" s="19" t="s">
        <v>230</v>
      </c>
      <c r="G5" s="19" t="s">
        <v>231</v>
      </c>
      <c r="H5" s="21" t="s">
        <v>35</v>
      </c>
      <c r="I5" s="19" t="s">
        <v>6</v>
      </c>
      <c r="J5" s="19" t="s">
        <v>6</v>
      </c>
    </row>
    <row r="6" customFormat="false" ht="23.85" hidden="false" customHeight="false" outlineLevel="0" collapsed="false">
      <c r="A6" s="18" t="n">
        <v>1</v>
      </c>
      <c r="B6" s="19" t="s">
        <v>32</v>
      </c>
      <c r="C6" s="19" t="s">
        <v>33</v>
      </c>
      <c r="D6" s="19" t="s">
        <v>223</v>
      </c>
      <c r="E6" s="20" t="s">
        <v>34</v>
      </c>
      <c r="F6" s="19" t="s">
        <v>232</v>
      </c>
      <c r="G6" s="19" t="s">
        <v>233</v>
      </c>
      <c r="H6" s="21" t="s">
        <v>35</v>
      </c>
      <c r="I6" s="19" t="s">
        <v>6</v>
      </c>
      <c r="J6" s="19" t="s">
        <v>6</v>
      </c>
    </row>
    <row r="7" customFormat="false" ht="23.85" hidden="false" customHeight="false" outlineLevel="0" collapsed="false">
      <c r="A7" s="18" t="n">
        <v>2</v>
      </c>
      <c r="B7" s="19" t="s">
        <v>32</v>
      </c>
      <c r="C7" s="19" t="s">
        <v>37</v>
      </c>
      <c r="D7" s="19" t="s">
        <v>223</v>
      </c>
      <c r="E7" s="20" t="s">
        <v>38</v>
      </c>
      <c r="F7" s="19" t="s">
        <v>234</v>
      </c>
      <c r="G7" s="19" t="s">
        <v>235</v>
      </c>
      <c r="H7" s="21" t="s">
        <v>35</v>
      </c>
      <c r="I7" s="19" t="s">
        <v>6</v>
      </c>
      <c r="J7" s="19" t="s">
        <v>6</v>
      </c>
    </row>
    <row r="8" customFormat="false" ht="23.85" hidden="false" customHeight="false" outlineLevel="0" collapsed="false">
      <c r="A8" s="18" t="n">
        <v>2</v>
      </c>
      <c r="B8" s="19" t="s">
        <v>32</v>
      </c>
      <c r="C8" s="19" t="s">
        <v>37</v>
      </c>
      <c r="D8" s="19" t="s">
        <v>223</v>
      </c>
      <c r="E8" s="20" t="s">
        <v>38</v>
      </c>
      <c r="F8" s="19" t="s">
        <v>236</v>
      </c>
      <c r="G8" s="19" t="s">
        <v>237</v>
      </c>
      <c r="H8" s="21" t="s">
        <v>35</v>
      </c>
      <c r="I8" s="19" t="s">
        <v>6</v>
      </c>
      <c r="J8" s="19" t="s">
        <v>6</v>
      </c>
    </row>
    <row r="9" customFormat="false" ht="23.85" hidden="false" customHeight="false" outlineLevel="0" collapsed="false">
      <c r="A9" s="18" t="n">
        <v>2</v>
      </c>
      <c r="B9" s="19" t="s">
        <v>32</v>
      </c>
      <c r="C9" s="19" t="s">
        <v>37</v>
      </c>
      <c r="D9" s="19" t="s">
        <v>223</v>
      </c>
      <c r="E9" s="20" t="s">
        <v>38</v>
      </c>
      <c r="F9" s="19" t="s">
        <v>238</v>
      </c>
      <c r="G9" s="19" t="s">
        <v>239</v>
      </c>
      <c r="H9" s="21" t="s">
        <v>35</v>
      </c>
      <c r="I9" s="19" t="s">
        <v>6</v>
      </c>
      <c r="J9" s="19" t="s">
        <v>6</v>
      </c>
    </row>
    <row r="10" customFormat="false" ht="23.85" hidden="false" customHeight="false" outlineLevel="0" collapsed="false">
      <c r="A10" s="18" t="n">
        <v>2</v>
      </c>
      <c r="B10" s="19" t="s">
        <v>32</v>
      </c>
      <c r="C10" s="19" t="s">
        <v>37</v>
      </c>
      <c r="D10" s="19" t="s">
        <v>223</v>
      </c>
      <c r="E10" s="20" t="s">
        <v>38</v>
      </c>
      <c r="F10" s="19" t="s">
        <v>240</v>
      </c>
      <c r="G10" s="19" t="s">
        <v>241</v>
      </c>
      <c r="H10" s="21" t="s">
        <v>35</v>
      </c>
      <c r="I10" s="19" t="s">
        <v>6</v>
      </c>
      <c r="J10" s="19" t="s">
        <v>6</v>
      </c>
    </row>
    <row r="11" customFormat="false" ht="23.85" hidden="false" customHeight="false" outlineLevel="0" collapsed="false">
      <c r="A11" s="18" t="n">
        <v>2</v>
      </c>
      <c r="B11" s="19" t="s">
        <v>32</v>
      </c>
      <c r="C11" s="19" t="s">
        <v>37</v>
      </c>
      <c r="D11" s="19" t="s">
        <v>223</v>
      </c>
      <c r="E11" s="20" t="s">
        <v>38</v>
      </c>
      <c r="F11" s="19" t="s">
        <v>242</v>
      </c>
      <c r="G11" s="19" t="s">
        <v>243</v>
      </c>
      <c r="H11" s="21" t="s">
        <v>35</v>
      </c>
      <c r="I11" s="19" t="s">
        <v>6</v>
      </c>
      <c r="J11" s="19" t="s">
        <v>6</v>
      </c>
    </row>
    <row r="12" customFormat="false" ht="23.85" hidden="false" customHeight="false" outlineLevel="0" collapsed="false">
      <c r="A12" s="18" t="n">
        <v>3</v>
      </c>
      <c r="B12" s="19" t="s">
        <v>32</v>
      </c>
      <c r="C12" s="19" t="s">
        <v>39</v>
      </c>
      <c r="D12" s="19" t="s">
        <v>223</v>
      </c>
      <c r="E12" s="20" t="s">
        <v>40</v>
      </c>
      <c r="F12" s="19" t="s">
        <v>244</v>
      </c>
      <c r="G12" s="19" t="s">
        <v>245</v>
      </c>
      <c r="H12" s="21" t="s">
        <v>35</v>
      </c>
      <c r="I12" s="19" t="s">
        <v>6</v>
      </c>
      <c r="J12" s="19" t="s">
        <v>6</v>
      </c>
    </row>
    <row r="13" customFormat="false" ht="23.85" hidden="false" customHeight="false" outlineLevel="0" collapsed="false">
      <c r="A13" s="18" t="n">
        <v>3</v>
      </c>
      <c r="B13" s="19" t="s">
        <v>32</v>
      </c>
      <c r="C13" s="19" t="s">
        <v>39</v>
      </c>
      <c r="D13" s="19" t="s">
        <v>223</v>
      </c>
      <c r="E13" s="20" t="s">
        <v>40</v>
      </c>
      <c r="F13" s="19" t="s">
        <v>246</v>
      </c>
      <c r="G13" s="19" t="s">
        <v>247</v>
      </c>
      <c r="H13" s="21" t="s">
        <v>35</v>
      </c>
      <c r="I13" s="19" t="s">
        <v>6</v>
      </c>
      <c r="J13" s="19" t="s">
        <v>6</v>
      </c>
    </row>
    <row r="14" customFormat="false" ht="23.85" hidden="false" customHeight="false" outlineLevel="0" collapsed="false">
      <c r="A14" s="18" t="n">
        <v>3</v>
      </c>
      <c r="B14" s="19" t="s">
        <v>32</v>
      </c>
      <c r="C14" s="19" t="s">
        <v>39</v>
      </c>
      <c r="D14" s="19" t="s">
        <v>223</v>
      </c>
      <c r="E14" s="20" t="s">
        <v>40</v>
      </c>
      <c r="F14" s="19" t="s">
        <v>248</v>
      </c>
      <c r="G14" s="19" t="s">
        <v>249</v>
      </c>
      <c r="H14" s="21" t="s">
        <v>35</v>
      </c>
      <c r="I14" s="19" t="s">
        <v>6</v>
      </c>
      <c r="J14" s="19" t="s">
        <v>6</v>
      </c>
    </row>
    <row r="15" customFormat="false" ht="23.85" hidden="false" customHeight="false" outlineLevel="0" collapsed="false">
      <c r="A15" s="18" t="n">
        <v>3</v>
      </c>
      <c r="B15" s="19" t="s">
        <v>32</v>
      </c>
      <c r="C15" s="19" t="s">
        <v>39</v>
      </c>
      <c r="D15" s="19" t="s">
        <v>223</v>
      </c>
      <c r="E15" s="20" t="s">
        <v>40</v>
      </c>
      <c r="F15" s="19" t="s">
        <v>250</v>
      </c>
      <c r="G15" s="19" t="s">
        <v>251</v>
      </c>
      <c r="H15" s="21" t="s">
        <v>35</v>
      </c>
      <c r="I15" s="19" t="s">
        <v>6</v>
      </c>
      <c r="J15" s="19" t="s">
        <v>6</v>
      </c>
    </row>
    <row r="16" customFormat="false" ht="23.85" hidden="false" customHeight="false" outlineLevel="0" collapsed="false">
      <c r="A16" s="18" t="n">
        <v>3</v>
      </c>
      <c r="B16" s="19" t="s">
        <v>32</v>
      </c>
      <c r="C16" s="19" t="s">
        <v>39</v>
      </c>
      <c r="D16" s="19" t="s">
        <v>223</v>
      </c>
      <c r="E16" s="20" t="s">
        <v>40</v>
      </c>
      <c r="F16" s="19" t="s">
        <v>252</v>
      </c>
      <c r="G16" s="19" t="s">
        <v>253</v>
      </c>
      <c r="H16" s="21" t="s">
        <v>35</v>
      </c>
      <c r="I16" s="19" t="s">
        <v>6</v>
      </c>
      <c r="J16" s="19" t="s">
        <v>6</v>
      </c>
    </row>
    <row r="17" customFormat="false" ht="23.85" hidden="false" customHeight="false" outlineLevel="0" collapsed="false">
      <c r="A17" s="18" t="n">
        <v>4</v>
      </c>
      <c r="B17" s="19" t="s">
        <v>32</v>
      </c>
      <c r="C17" s="19" t="s">
        <v>41</v>
      </c>
      <c r="D17" s="19" t="s">
        <v>223</v>
      </c>
      <c r="E17" s="20" t="s">
        <v>42</v>
      </c>
      <c r="F17" s="19" t="s">
        <v>254</v>
      </c>
      <c r="G17" s="19" t="s">
        <v>255</v>
      </c>
      <c r="H17" s="21" t="s">
        <v>35</v>
      </c>
      <c r="I17" s="19" t="s">
        <v>6</v>
      </c>
      <c r="J17" s="19" t="s">
        <v>6</v>
      </c>
    </row>
    <row r="18" customFormat="false" ht="23.85" hidden="false" customHeight="false" outlineLevel="0" collapsed="false">
      <c r="A18" s="18" t="n">
        <v>4</v>
      </c>
      <c r="B18" s="19" t="s">
        <v>32</v>
      </c>
      <c r="C18" s="19" t="s">
        <v>41</v>
      </c>
      <c r="D18" s="19" t="s">
        <v>223</v>
      </c>
      <c r="E18" s="20" t="s">
        <v>42</v>
      </c>
      <c r="F18" s="19" t="s">
        <v>256</v>
      </c>
      <c r="G18" s="19" t="s">
        <v>257</v>
      </c>
      <c r="H18" s="21" t="s">
        <v>35</v>
      </c>
      <c r="I18" s="19" t="s">
        <v>6</v>
      </c>
      <c r="J18" s="19" t="s">
        <v>6</v>
      </c>
    </row>
    <row r="19" customFormat="false" ht="23.85" hidden="false" customHeight="false" outlineLevel="0" collapsed="false">
      <c r="A19" s="18" t="n">
        <v>4</v>
      </c>
      <c r="B19" s="19" t="s">
        <v>32</v>
      </c>
      <c r="C19" s="19" t="s">
        <v>41</v>
      </c>
      <c r="D19" s="19" t="s">
        <v>223</v>
      </c>
      <c r="E19" s="20" t="s">
        <v>42</v>
      </c>
      <c r="F19" s="19" t="s">
        <v>258</v>
      </c>
      <c r="G19" s="19" t="s">
        <v>259</v>
      </c>
      <c r="H19" s="21" t="s">
        <v>35</v>
      </c>
      <c r="I19" s="19" t="s">
        <v>6</v>
      </c>
      <c r="J19" s="19" t="s">
        <v>6</v>
      </c>
    </row>
    <row r="20" customFormat="false" ht="23.85" hidden="false" customHeight="false" outlineLevel="0" collapsed="false">
      <c r="A20" s="18" t="n">
        <v>4</v>
      </c>
      <c r="B20" s="19" t="s">
        <v>32</v>
      </c>
      <c r="C20" s="19" t="s">
        <v>41</v>
      </c>
      <c r="D20" s="19" t="s">
        <v>223</v>
      </c>
      <c r="E20" s="20" t="s">
        <v>42</v>
      </c>
      <c r="F20" s="19" t="s">
        <v>260</v>
      </c>
      <c r="G20" s="19" t="s">
        <v>261</v>
      </c>
      <c r="H20" s="21" t="s">
        <v>35</v>
      </c>
      <c r="I20" s="19" t="s">
        <v>6</v>
      </c>
      <c r="J20" s="19" t="s">
        <v>6</v>
      </c>
    </row>
    <row r="21" customFormat="false" ht="23.85" hidden="false" customHeight="false" outlineLevel="0" collapsed="false">
      <c r="A21" s="18" t="n">
        <v>4</v>
      </c>
      <c r="B21" s="19" t="s">
        <v>32</v>
      </c>
      <c r="C21" s="19" t="s">
        <v>41</v>
      </c>
      <c r="D21" s="19" t="s">
        <v>223</v>
      </c>
      <c r="E21" s="20" t="s">
        <v>42</v>
      </c>
      <c r="F21" s="19" t="s">
        <v>262</v>
      </c>
      <c r="G21" s="19" t="s">
        <v>263</v>
      </c>
      <c r="H21" s="21" t="s">
        <v>35</v>
      </c>
      <c r="I21" s="19" t="s">
        <v>6</v>
      </c>
      <c r="J21" s="19" t="s">
        <v>6</v>
      </c>
    </row>
    <row r="22" customFormat="false" ht="23.85" hidden="false" customHeight="false" outlineLevel="0" collapsed="false">
      <c r="A22" s="18" t="n">
        <v>5</v>
      </c>
      <c r="B22" s="19" t="s">
        <v>32</v>
      </c>
      <c r="C22" s="19" t="s">
        <v>43</v>
      </c>
      <c r="D22" s="19" t="s">
        <v>223</v>
      </c>
      <c r="E22" s="20" t="s">
        <v>44</v>
      </c>
      <c r="F22" s="19" t="s">
        <v>264</v>
      </c>
      <c r="G22" s="19" t="s">
        <v>265</v>
      </c>
      <c r="H22" s="21" t="s">
        <v>35</v>
      </c>
      <c r="I22" s="19" t="s">
        <v>6</v>
      </c>
      <c r="J22" s="19" t="s">
        <v>6</v>
      </c>
    </row>
    <row r="23" customFormat="false" ht="23.85" hidden="false" customHeight="false" outlineLevel="0" collapsed="false">
      <c r="A23" s="18" t="n">
        <v>5</v>
      </c>
      <c r="B23" s="19" t="s">
        <v>32</v>
      </c>
      <c r="C23" s="19" t="s">
        <v>43</v>
      </c>
      <c r="D23" s="19" t="s">
        <v>223</v>
      </c>
      <c r="E23" s="20" t="s">
        <v>44</v>
      </c>
      <c r="F23" s="19" t="s">
        <v>266</v>
      </c>
      <c r="G23" s="19" t="s">
        <v>267</v>
      </c>
      <c r="H23" s="21" t="s">
        <v>35</v>
      </c>
      <c r="I23" s="19" t="s">
        <v>6</v>
      </c>
      <c r="J23" s="19" t="s">
        <v>6</v>
      </c>
    </row>
    <row r="24" customFormat="false" ht="23.85" hidden="false" customHeight="false" outlineLevel="0" collapsed="false">
      <c r="A24" s="18" t="n">
        <v>5</v>
      </c>
      <c r="B24" s="19" t="s">
        <v>32</v>
      </c>
      <c r="C24" s="19" t="s">
        <v>43</v>
      </c>
      <c r="D24" s="19" t="s">
        <v>223</v>
      </c>
      <c r="E24" s="20" t="s">
        <v>44</v>
      </c>
      <c r="F24" s="19" t="s">
        <v>268</v>
      </c>
      <c r="G24" s="19" t="s">
        <v>269</v>
      </c>
      <c r="H24" s="21" t="s">
        <v>35</v>
      </c>
      <c r="I24" s="19" t="s">
        <v>6</v>
      </c>
      <c r="J24" s="19" t="s">
        <v>6</v>
      </c>
    </row>
    <row r="25" customFormat="false" ht="23.85" hidden="false" customHeight="false" outlineLevel="0" collapsed="false">
      <c r="A25" s="18" t="n">
        <v>5</v>
      </c>
      <c r="B25" s="19" t="s">
        <v>32</v>
      </c>
      <c r="C25" s="19" t="s">
        <v>43</v>
      </c>
      <c r="D25" s="19" t="s">
        <v>223</v>
      </c>
      <c r="E25" s="20" t="s">
        <v>44</v>
      </c>
      <c r="F25" s="19" t="s">
        <v>270</v>
      </c>
      <c r="G25" s="19" t="s">
        <v>271</v>
      </c>
      <c r="H25" s="21" t="s">
        <v>35</v>
      </c>
      <c r="I25" s="19" t="s">
        <v>6</v>
      </c>
      <c r="J25" s="19" t="s">
        <v>6</v>
      </c>
    </row>
    <row r="26" customFormat="false" ht="23.85" hidden="false" customHeight="false" outlineLevel="0" collapsed="false">
      <c r="A26" s="18" t="n">
        <v>5</v>
      </c>
      <c r="B26" s="19" t="s">
        <v>32</v>
      </c>
      <c r="C26" s="19" t="s">
        <v>43</v>
      </c>
      <c r="D26" s="19" t="s">
        <v>223</v>
      </c>
      <c r="E26" s="20" t="s">
        <v>44</v>
      </c>
      <c r="F26" s="19" t="s">
        <v>272</v>
      </c>
      <c r="G26" s="19" t="s">
        <v>273</v>
      </c>
      <c r="H26" s="21" t="s">
        <v>35</v>
      </c>
      <c r="I26" s="19" t="s">
        <v>6</v>
      </c>
      <c r="J26" s="19" t="s">
        <v>6</v>
      </c>
    </row>
    <row r="27" customFormat="false" ht="23.85" hidden="false" customHeight="false" outlineLevel="0" collapsed="false">
      <c r="A27" s="18" t="n">
        <v>5</v>
      </c>
      <c r="B27" s="19" t="s">
        <v>32</v>
      </c>
      <c r="C27" s="19" t="s">
        <v>43</v>
      </c>
      <c r="D27" s="19" t="s">
        <v>223</v>
      </c>
      <c r="E27" s="20" t="s">
        <v>44</v>
      </c>
      <c r="F27" s="19" t="s">
        <v>274</v>
      </c>
      <c r="G27" s="19" t="s">
        <v>275</v>
      </c>
      <c r="H27" s="21" t="s">
        <v>35</v>
      </c>
      <c r="I27" s="19" t="s">
        <v>6</v>
      </c>
      <c r="J27" s="19" t="s">
        <v>6</v>
      </c>
    </row>
    <row r="28" customFormat="false" ht="23.85" hidden="false" customHeight="false" outlineLevel="0" collapsed="false">
      <c r="A28" s="18" t="n">
        <v>6</v>
      </c>
      <c r="B28" s="19" t="s">
        <v>32</v>
      </c>
      <c r="C28" s="19" t="s">
        <v>45</v>
      </c>
      <c r="D28" s="19" t="s">
        <v>223</v>
      </c>
      <c r="E28" s="20" t="s">
        <v>46</v>
      </c>
      <c r="F28" s="19" t="s">
        <v>276</v>
      </c>
      <c r="G28" s="19" t="s">
        <v>277</v>
      </c>
      <c r="H28" s="21" t="s">
        <v>35</v>
      </c>
      <c r="I28" s="19" t="s">
        <v>6</v>
      </c>
      <c r="J28" s="19" t="s">
        <v>6</v>
      </c>
    </row>
    <row r="29" customFormat="false" ht="23.85" hidden="false" customHeight="false" outlineLevel="0" collapsed="false">
      <c r="A29" s="18" t="n">
        <v>6</v>
      </c>
      <c r="B29" s="19" t="s">
        <v>32</v>
      </c>
      <c r="C29" s="19" t="s">
        <v>45</v>
      </c>
      <c r="D29" s="19" t="s">
        <v>223</v>
      </c>
      <c r="E29" s="20" t="s">
        <v>46</v>
      </c>
      <c r="F29" s="19" t="s">
        <v>278</v>
      </c>
      <c r="G29" s="19" t="s">
        <v>279</v>
      </c>
      <c r="H29" s="21" t="s">
        <v>35</v>
      </c>
      <c r="I29" s="19" t="s">
        <v>6</v>
      </c>
      <c r="J29" s="19" t="s">
        <v>6</v>
      </c>
    </row>
    <row r="30" customFormat="false" ht="23.85" hidden="false" customHeight="false" outlineLevel="0" collapsed="false">
      <c r="A30" s="18" t="n">
        <v>6</v>
      </c>
      <c r="B30" s="19" t="s">
        <v>32</v>
      </c>
      <c r="C30" s="19" t="s">
        <v>45</v>
      </c>
      <c r="D30" s="19" t="s">
        <v>223</v>
      </c>
      <c r="E30" s="20" t="s">
        <v>46</v>
      </c>
      <c r="F30" s="19" t="s">
        <v>280</v>
      </c>
      <c r="G30" s="19" t="s">
        <v>281</v>
      </c>
      <c r="H30" s="21" t="s">
        <v>35</v>
      </c>
      <c r="I30" s="19" t="s">
        <v>6</v>
      </c>
      <c r="J30" s="19" t="s">
        <v>6</v>
      </c>
    </row>
    <row r="31" customFormat="false" ht="23.85" hidden="false" customHeight="false" outlineLevel="0" collapsed="false">
      <c r="A31" s="18" t="n">
        <v>6</v>
      </c>
      <c r="B31" s="19" t="s">
        <v>32</v>
      </c>
      <c r="C31" s="19" t="s">
        <v>45</v>
      </c>
      <c r="D31" s="19" t="s">
        <v>223</v>
      </c>
      <c r="E31" s="20" t="s">
        <v>46</v>
      </c>
      <c r="F31" s="19" t="s">
        <v>282</v>
      </c>
      <c r="G31" s="19" t="s">
        <v>283</v>
      </c>
      <c r="H31" s="21" t="s">
        <v>35</v>
      </c>
      <c r="I31" s="19" t="s">
        <v>6</v>
      </c>
      <c r="J31" s="19" t="s">
        <v>6</v>
      </c>
    </row>
    <row r="32" customFormat="false" ht="23.85" hidden="false" customHeight="false" outlineLevel="0" collapsed="false">
      <c r="A32" s="18" t="n">
        <v>7</v>
      </c>
      <c r="B32" s="19" t="s">
        <v>32</v>
      </c>
      <c r="C32" s="19" t="s">
        <v>47</v>
      </c>
      <c r="D32" s="19" t="s">
        <v>223</v>
      </c>
      <c r="E32" s="20" t="s">
        <v>48</v>
      </c>
      <c r="F32" s="19" t="s">
        <v>284</v>
      </c>
      <c r="G32" s="19" t="s">
        <v>285</v>
      </c>
      <c r="H32" s="21" t="s">
        <v>35</v>
      </c>
      <c r="I32" s="19" t="s">
        <v>6</v>
      </c>
      <c r="J32" s="19" t="s">
        <v>6</v>
      </c>
    </row>
    <row r="33" customFormat="false" ht="23.85" hidden="false" customHeight="false" outlineLevel="0" collapsed="false">
      <c r="A33" s="18" t="n">
        <v>7</v>
      </c>
      <c r="B33" s="19" t="s">
        <v>32</v>
      </c>
      <c r="C33" s="19" t="s">
        <v>47</v>
      </c>
      <c r="D33" s="19" t="s">
        <v>223</v>
      </c>
      <c r="E33" s="20" t="s">
        <v>48</v>
      </c>
      <c r="F33" s="19" t="s">
        <v>286</v>
      </c>
      <c r="G33" s="19" t="s">
        <v>287</v>
      </c>
      <c r="H33" s="21" t="s">
        <v>35</v>
      </c>
      <c r="I33" s="19" t="s">
        <v>6</v>
      </c>
      <c r="J33" s="19" t="s">
        <v>6</v>
      </c>
    </row>
    <row r="34" customFormat="false" ht="23.85" hidden="false" customHeight="false" outlineLevel="0" collapsed="false">
      <c r="A34" s="18" t="n">
        <v>7</v>
      </c>
      <c r="B34" s="19" t="s">
        <v>32</v>
      </c>
      <c r="C34" s="19" t="s">
        <v>47</v>
      </c>
      <c r="D34" s="19" t="s">
        <v>223</v>
      </c>
      <c r="E34" s="20" t="s">
        <v>48</v>
      </c>
      <c r="F34" s="19" t="s">
        <v>288</v>
      </c>
      <c r="G34" s="19" t="s">
        <v>289</v>
      </c>
      <c r="H34" s="21" t="s">
        <v>35</v>
      </c>
      <c r="I34" s="19" t="s">
        <v>6</v>
      </c>
      <c r="J34" s="19" t="s">
        <v>6</v>
      </c>
    </row>
    <row r="35" customFormat="false" ht="23.85" hidden="false" customHeight="false" outlineLevel="0" collapsed="false">
      <c r="A35" s="18" t="n">
        <v>7</v>
      </c>
      <c r="B35" s="19" t="s">
        <v>32</v>
      </c>
      <c r="C35" s="19" t="s">
        <v>47</v>
      </c>
      <c r="D35" s="19" t="s">
        <v>223</v>
      </c>
      <c r="E35" s="20" t="s">
        <v>48</v>
      </c>
      <c r="F35" s="19" t="s">
        <v>290</v>
      </c>
      <c r="G35" s="19" t="s">
        <v>291</v>
      </c>
      <c r="H35" s="21" t="s">
        <v>35</v>
      </c>
      <c r="I35" s="19" t="s">
        <v>6</v>
      </c>
      <c r="J35" s="19" t="s">
        <v>6</v>
      </c>
    </row>
    <row r="36" customFormat="false" ht="23.85" hidden="false" customHeight="false" outlineLevel="0" collapsed="false">
      <c r="A36" s="18" t="n">
        <v>7</v>
      </c>
      <c r="B36" s="19" t="s">
        <v>32</v>
      </c>
      <c r="C36" s="19" t="s">
        <v>47</v>
      </c>
      <c r="D36" s="19" t="s">
        <v>223</v>
      </c>
      <c r="E36" s="20" t="s">
        <v>48</v>
      </c>
      <c r="F36" s="19" t="s">
        <v>292</v>
      </c>
      <c r="G36" s="19" t="s">
        <v>293</v>
      </c>
      <c r="H36" s="21" t="s">
        <v>35</v>
      </c>
      <c r="I36" s="19" t="s">
        <v>6</v>
      </c>
      <c r="J36" s="19" t="s">
        <v>6</v>
      </c>
    </row>
    <row r="37" customFormat="false" ht="23.85" hidden="false" customHeight="false" outlineLevel="0" collapsed="false">
      <c r="A37" s="18" t="n">
        <v>7</v>
      </c>
      <c r="B37" s="19" t="s">
        <v>32</v>
      </c>
      <c r="C37" s="19" t="s">
        <v>47</v>
      </c>
      <c r="D37" s="19" t="s">
        <v>223</v>
      </c>
      <c r="E37" s="20" t="s">
        <v>48</v>
      </c>
      <c r="F37" s="19" t="s">
        <v>294</v>
      </c>
      <c r="G37" s="19" t="s">
        <v>295</v>
      </c>
      <c r="H37" s="21" t="s">
        <v>35</v>
      </c>
      <c r="I37" s="19" t="s">
        <v>6</v>
      </c>
      <c r="J37" s="19" t="s">
        <v>6</v>
      </c>
    </row>
    <row r="38" customFormat="false" ht="15" hidden="false" customHeight="false" outlineLevel="0" collapsed="false">
      <c r="A38" s="18" t="n">
        <v>8</v>
      </c>
      <c r="B38" s="19" t="s">
        <v>32</v>
      </c>
      <c r="C38" s="19" t="s">
        <v>49</v>
      </c>
      <c r="D38" s="19" t="s">
        <v>296</v>
      </c>
      <c r="E38" s="20" t="s">
        <v>50</v>
      </c>
      <c r="F38" s="19" t="s">
        <v>297</v>
      </c>
      <c r="G38" s="19" t="s">
        <v>298</v>
      </c>
      <c r="H38" s="21" t="s">
        <v>35</v>
      </c>
      <c r="I38" s="19" t="s">
        <v>6</v>
      </c>
      <c r="J38" s="19" t="s">
        <v>6</v>
      </c>
    </row>
    <row r="39" customFormat="false" ht="15" hidden="false" customHeight="false" outlineLevel="0" collapsed="false">
      <c r="A39" s="18" t="n">
        <v>8</v>
      </c>
      <c r="B39" s="19" t="s">
        <v>32</v>
      </c>
      <c r="C39" s="19" t="s">
        <v>49</v>
      </c>
      <c r="D39" s="19" t="s">
        <v>296</v>
      </c>
      <c r="E39" s="20" t="s">
        <v>50</v>
      </c>
      <c r="F39" s="19" t="s">
        <v>299</v>
      </c>
      <c r="G39" s="19" t="s">
        <v>300</v>
      </c>
      <c r="H39" s="21" t="s">
        <v>35</v>
      </c>
      <c r="I39" s="19" t="s">
        <v>6</v>
      </c>
      <c r="J39" s="19" t="s">
        <v>6</v>
      </c>
    </row>
    <row r="40" customFormat="false" ht="15" hidden="false" customHeight="false" outlineLevel="0" collapsed="false">
      <c r="A40" s="18" t="n">
        <v>8</v>
      </c>
      <c r="B40" s="19" t="s">
        <v>32</v>
      </c>
      <c r="C40" s="19" t="s">
        <v>49</v>
      </c>
      <c r="D40" s="19" t="s">
        <v>296</v>
      </c>
      <c r="E40" s="20" t="s">
        <v>50</v>
      </c>
      <c r="F40" s="19" t="s">
        <v>301</v>
      </c>
      <c r="G40" s="19" t="s">
        <v>302</v>
      </c>
      <c r="H40" s="21" t="s">
        <v>35</v>
      </c>
      <c r="I40" s="19" t="s">
        <v>6</v>
      </c>
      <c r="J40" s="19" t="s">
        <v>6</v>
      </c>
    </row>
    <row r="41" customFormat="false" ht="15" hidden="false" customHeight="false" outlineLevel="0" collapsed="false">
      <c r="A41" s="18" t="n">
        <v>8</v>
      </c>
      <c r="B41" s="19" t="s">
        <v>32</v>
      </c>
      <c r="C41" s="19" t="s">
        <v>49</v>
      </c>
      <c r="D41" s="19" t="s">
        <v>296</v>
      </c>
      <c r="E41" s="20" t="s">
        <v>50</v>
      </c>
      <c r="F41" s="19" t="s">
        <v>303</v>
      </c>
      <c r="G41" s="19" t="s">
        <v>304</v>
      </c>
      <c r="H41" s="21" t="s">
        <v>35</v>
      </c>
      <c r="I41" s="19" t="s">
        <v>6</v>
      </c>
      <c r="J41" s="19" t="s">
        <v>6</v>
      </c>
    </row>
    <row r="42" customFormat="false" ht="15" hidden="false" customHeight="false" outlineLevel="0" collapsed="false">
      <c r="A42" s="18" t="n">
        <v>9</v>
      </c>
      <c r="B42" s="19" t="s">
        <v>32</v>
      </c>
      <c r="C42" s="19" t="s">
        <v>51</v>
      </c>
      <c r="D42" s="19" t="s">
        <v>296</v>
      </c>
      <c r="E42" s="20" t="s">
        <v>52</v>
      </c>
      <c r="F42" s="19" t="s">
        <v>305</v>
      </c>
      <c r="G42" s="19" t="s">
        <v>306</v>
      </c>
      <c r="H42" s="21" t="s">
        <v>35</v>
      </c>
      <c r="I42" s="19" t="s">
        <v>6</v>
      </c>
      <c r="J42" s="19" t="s">
        <v>6</v>
      </c>
    </row>
    <row r="43" customFormat="false" ht="15" hidden="false" customHeight="false" outlineLevel="0" collapsed="false">
      <c r="A43" s="18" t="n">
        <v>9</v>
      </c>
      <c r="B43" s="19" t="s">
        <v>32</v>
      </c>
      <c r="C43" s="19" t="s">
        <v>51</v>
      </c>
      <c r="D43" s="19" t="s">
        <v>296</v>
      </c>
      <c r="E43" s="20" t="s">
        <v>52</v>
      </c>
      <c r="F43" s="19" t="s">
        <v>307</v>
      </c>
      <c r="G43" s="19" t="s">
        <v>308</v>
      </c>
      <c r="H43" s="21" t="s">
        <v>35</v>
      </c>
      <c r="I43" s="19" t="s">
        <v>6</v>
      </c>
      <c r="J43" s="19" t="s">
        <v>6</v>
      </c>
    </row>
    <row r="44" customFormat="false" ht="15" hidden="false" customHeight="false" outlineLevel="0" collapsed="false">
      <c r="A44" s="18" t="n">
        <v>9</v>
      </c>
      <c r="B44" s="19" t="s">
        <v>32</v>
      </c>
      <c r="C44" s="19" t="s">
        <v>51</v>
      </c>
      <c r="D44" s="19" t="s">
        <v>296</v>
      </c>
      <c r="E44" s="20" t="s">
        <v>52</v>
      </c>
      <c r="F44" s="19" t="s">
        <v>309</v>
      </c>
      <c r="G44" s="19" t="s">
        <v>310</v>
      </c>
      <c r="H44" s="21" t="s">
        <v>35</v>
      </c>
      <c r="I44" s="19" t="s">
        <v>6</v>
      </c>
      <c r="J44" s="19" t="s">
        <v>6</v>
      </c>
    </row>
    <row r="45" customFormat="false" ht="15" hidden="false" customHeight="false" outlineLevel="0" collapsed="false">
      <c r="A45" s="18" t="n">
        <v>9</v>
      </c>
      <c r="B45" s="19" t="s">
        <v>32</v>
      </c>
      <c r="C45" s="19" t="s">
        <v>51</v>
      </c>
      <c r="D45" s="19" t="s">
        <v>296</v>
      </c>
      <c r="E45" s="20" t="s">
        <v>52</v>
      </c>
      <c r="F45" s="19" t="s">
        <v>311</v>
      </c>
      <c r="G45" s="19" t="s">
        <v>312</v>
      </c>
      <c r="H45" s="21" t="s">
        <v>35</v>
      </c>
      <c r="I45" s="19" t="s">
        <v>6</v>
      </c>
      <c r="J45" s="19" t="s">
        <v>6</v>
      </c>
    </row>
    <row r="46" customFormat="false" ht="23.85" hidden="false" customHeight="false" outlineLevel="0" collapsed="false">
      <c r="A46" s="18" t="n">
        <v>16</v>
      </c>
      <c r="B46" s="19" t="s">
        <v>67</v>
      </c>
      <c r="C46" s="19" t="s">
        <v>68</v>
      </c>
      <c r="D46" s="19" t="s">
        <v>313</v>
      </c>
      <c r="E46" s="20" t="s">
        <v>69</v>
      </c>
      <c r="F46" s="19" t="s">
        <v>314</v>
      </c>
      <c r="G46" s="19" t="s">
        <v>315</v>
      </c>
      <c r="H46" s="21" t="s">
        <v>35</v>
      </c>
      <c r="I46" s="19" t="s">
        <v>6</v>
      </c>
      <c r="J46" s="19" t="s">
        <v>6</v>
      </c>
    </row>
    <row r="47" customFormat="false" ht="23.85" hidden="false" customHeight="false" outlineLevel="0" collapsed="false">
      <c r="A47" s="18" t="n">
        <v>16</v>
      </c>
      <c r="B47" s="19" t="s">
        <v>67</v>
      </c>
      <c r="C47" s="19" t="s">
        <v>68</v>
      </c>
      <c r="D47" s="19" t="s">
        <v>313</v>
      </c>
      <c r="E47" s="20" t="s">
        <v>69</v>
      </c>
      <c r="F47" s="19" t="s">
        <v>316</v>
      </c>
      <c r="G47" s="19" t="s">
        <v>317</v>
      </c>
      <c r="H47" s="21" t="s">
        <v>35</v>
      </c>
      <c r="I47" s="19" t="s">
        <v>6</v>
      </c>
      <c r="J47" s="19" t="s">
        <v>6</v>
      </c>
    </row>
    <row r="48" customFormat="false" ht="23.85" hidden="false" customHeight="false" outlineLevel="0" collapsed="false">
      <c r="A48" s="18" t="n">
        <v>16</v>
      </c>
      <c r="B48" s="19" t="s">
        <v>67</v>
      </c>
      <c r="C48" s="19" t="s">
        <v>68</v>
      </c>
      <c r="D48" s="19" t="s">
        <v>313</v>
      </c>
      <c r="E48" s="20" t="s">
        <v>69</v>
      </c>
      <c r="F48" s="19" t="s">
        <v>318</v>
      </c>
      <c r="G48" s="19" t="s">
        <v>319</v>
      </c>
      <c r="H48" s="21" t="s">
        <v>35</v>
      </c>
      <c r="I48" s="19" t="s">
        <v>6</v>
      </c>
      <c r="J48" s="19" t="s">
        <v>6</v>
      </c>
    </row>
    <row r="49" customFormat="false" ht="23.85" hidden="false" customHeight="false" outlineLevel="0" collapsed="false">
      <c r="A49" s="18" t="n">
        <v>16</v>
      </c>
      <c r="B49" s="19" t="s">
        <v>67</v>
      </c>
      <c r="C49" s="19" t="s">
        <v>68</v>
      </c>
      <c r="D49" s="19" t="s">
        <v>313</v>
      </c>
      <c r="E49" s="20" t="s">
        <v>69</v>
      </c>
      <c r="F49" s="19" t="s">
        <v>320</v>
      </c>
      <c r="G49" s="19" t="s">
        <v>321</v>
      </c>
      <c r="H49" s="21" t="s">
        <v>35</v>
      </c>
      <c r="I49" s="19" t="s">
        <v>6</v>
      </c>
      <c r="J49" s="19" t="s">
        <v>6</v>
      </c>
    </row>
    <row r="50" customFormat="false" ht="23.85" hidden="false" customHeight="false" outlineLevel="0" collapsed="false">
      <c r="A50" s="18" t="n">
        <v>17</v>
      </c>
      <c r="B50" s="19" t="s">
        <v>67</v>
      </c>
      <c r="C50" s="19" t="s">
        <v>70</v>
      </c>
      <c r="D50" s="19" t="s">
        <v>313</v>
      </c>
      <c r="E50" s="20" t="s">
        <v>71</v>
      </c>
      <c r="F50" s="19" t="s">
        <v>322</v>
      </c>
      <c r="G50" s="19" t="s">
        <v>323</v>
      </c>
      <c r="H50" s="22" t="s">
        <v>66</v>
      </c>
      <c r="I50" s="19" t="s">
        <v>6</v>
      </c>
      <c r="J50" s="19" t="s">
        <v>6</v>
      </c>
    </row>
    <row r="51" customFormat="false" ht="23.85" hidden="false" customHeight="false" outlineLevel="0" collapsed="false">
      <c r="A51" s="18" t="n">
        <v>17</v>
      </c>
      <c r="B51" s="19" t="s">
        <v>67</v>
      </c>
      <c r="C51" s="19" t="s">
        <v>70</v>
      </c>
      <c r="D51" s="19" t="s">
        <v>313</v>
      </c>
      <c r="E51" s="20" t="s">
        <v>71</v>
      </c>
      <c r="F51" s="19" t="s">
        <v>324</v>
      </c>
      <c r="G51" s="19" t="s">
        <v>325</v>
      </c>
      <c r="H51" s="22" t="s">
        <v>66</v>
      </c>
      <c r="I51" s="19" t="s">
        <v>6</v>
      </c>
      <c r="J51" s="19" t="s">
        <v>6</v>
      </c>
    </row>
    <row r="52" customFormat="false" ht="23.85" hidden="false" customHeight="false" outlineLevel="0" collapsed="false">
      <c r="A52" s="18" t="n">
        <v>17</v>
      </c>
      <c r="B52" s="19" t="s">
        <v>67</v>
      </c>
      <c r="C52" s="19" t="s">
        <v>70</v>
      </c>
      <c r="D52" s="19" t="s">
        <v>313</v>
      </c>
      <c r="E52" s="20" t="s">
        <v>71</v>
      </c>
      <c r="F52" s="19" t="s">
        <v>326</v>
      </c>
      <c r="G52" s="19" t="s">
        <v>327</v>
      </c>
      <c r="H52" s="22" t="s">
        <v>66</v>
      </c>
      <c r="I52" s="19" t="s">
        <v>6</v>
      </c>
      <c r="J52" s="19" t="s">
        <v>6</v>
      </c>
    </row>
    <row r="53" customFormat="false" ht="23.85" hidden="false" customHeight="false" outlineLevel="0" collapsed="false">
      <c r="A53" s="18" t="n">
        <v>17</v>
      </c>
      <c r="B53" s="19" t="s">
        <v>67</v>
      </c>
      <c r="C53" s="19" t="s">
        <v>70</v>
      </c>
      <c r="D53" s="19" t="s">
        <v>313</v>
      </c>
      <c r="E53" s="20" t="s">
        <v>71</v>
      </c>
      <c r="F53" s="19" t="s">
        <v>328</v>
      </c>
      <c r="G53" s="19" t="s">
        <v>329</v>
      </c>
      <c r="H53" s="22" t="s">
        <v>66</v>
      </c>
      <c r="I53" s="19" t="s">
        <v>6</v>
      </c>
      <c r="J53" s="19" t="s">
        <v>6</v>
      </c>
    </row>
    <row r="54" customFormat="false" ht="23.85" hidden="false" customHeight="false" outlineLevel="0" collapsed="false">
      <c r="A54" s="18" t="n">
        <v>17</v>
      </c>
      <c r="B54" s="19" t="s">
        <v>67</v>
      </c>
      <c r="C54" s="19" t="s">
        <v>70</v>
      </c>
      <c r="D54" s="19" t="s">
        <v>313</v>
      </c>
      <c r="E54" s="20" t="s">
        <v>71</v>
      </c>
      <c r="F54" s="19" t="s">
        <v>330</v>
      </c>
      <c r="G54" s="19" t="s">
        <v>331</v>
      </c>
      <c r="H54" s="22" t="s">
        <v>66</v>
      </c>
      <c r="I54" s="19" t="s">
        <v>6</v>
      </c>
      <c r="J54" s="19" t="s">
        <v>6</v>
      </c>
    </row>
    <row r="55" customFormat="false" ht="15" hidden="false" customHeight="false" outlineLevel="0" collapsed="false">
      <c r="A55" s="18" t="n">
        <v>18</v>
      </c>
      <c r="B55" s="19" t="s">
        <v>67</v>
      </c>
      <c r="C55" s="19" t="s">
        <v>72</v>
      </c>
      <c r="D55" s="19" t="s">
        <v>332</v>
      </c>
      <c r="E55" s="20" t="s">
        <v>73</v>
      </c>
      <c r="F55" s="19" t="s">
        <v>333</v>
      </c>
      <c r="G55" s="19" t="s">
        <v>334</v>
      </c>
      <c r="H55" s="21" t="s">
        <v>35</v>
      </c>
      <c r="I55" s="19" t="s">
        <v>6</v>
      </c>
      <c r="J55" s="19" t="s">
        <v>6</v>
      </c>
    </row>
    <row r="56" customFormat="false" ht="15" hidden="false" customHeight="false" outlineLevel="0" collapsed="false">
      <c r="A56" s="18" t="n">
        <v>18</v>
      </c>
      <c r="B56" s="19" t="s">
        <v>67</v>
      </c>
      <c r="C56" s="19" t="s">
        <v>72</v>
      </c>
      <c r="D56" s="19" t="s">
        <v>332</v>
      </c>
      <c r="E56" s="20" t="s">
        <v>73</v>
      </c>
      <c r="F56" s="19" t="s">
        <v>335</v>
      </c>
      <c r="G56" s="19" t="s">
        <v>336</v>
      </c>
      <c r="H56" s="21" t="s">
        <v>35</v>
      </c>
      <c r="I56" s="19" t="s">
        <v>6</v>
      </c>
      <c r="J56" s="19" t="s">
        <v>6</v>
      </c>
    </row>
    <row r="57" customFormat="false" ht="15" hidden="false" customHeight="false" outlineLevel="0" collapsed="false">
      <c r="A57" s="18" t="n">
        <v>18</v>
      </c>
      <c r="B57" s="19" t="s">
        <v>67</v>
      </c>
      <c r="C57" s="19" t="s">
        <v>72</v>
      </c>
      <c r="D57" s="19" t="s">
        <v>332</v>
      </c>
      <c r="E57" s="20" t="s">
        <v>73</v>
      </c>
      <c r="F57" s="19" t="s">
        <v>337</v>
      </c>
      <c r="G57" s="19" t="s">
        <v>338</v>
      </c>
      <c r="H57" s="21" t="s">
        <v>35</v>
      </c>
      <c r="I57" s="19" t="s">
        <v>6</v>
      </c>
      <c r="J57" s="19" t="s">
        <v>6</v>
      </c>
    </row>
    <row r="58" customFormat="false" ht="15" hidden="false" customHeight="false" outlineLevel="0" collapsed="false">
      <c r="A58" s="18" t="n">
        <v>18</v>
      </c>
      <c r="B58" s="19" t="s">
        <v>67</v>
      </c>
      <c r="C58" s="19" t="s">
        <v>72</v>
      </c>
      <c r="D58" s="19" t="s">
        <v>332</v>
      </c>
      <c r="E58" s="20" t="s">
        <v>73</v>
      </c>
      <c r="F58" s="19" t="s">
        <v>339</v>
      </c>
      <c r="G58" s="19" t="s">
        <v>340</v>
      </c>
      <c r="H58" s="21" t="s">
        <v>35</v>
      </c>
      <c r="I58" s="19" t="s">
        <v>6</v>
      </c>
      <c r="J58" s="19" t="s">
        <v>6</v>
      </c>
    </row>
    <row r="59" customFormat="false" ht="15" hidden="false" customHeight="false" outlineLevel="0" collapsed="false">
      <c r="A59" s="18" t="n">
        <v>18</v>
      </c>
      <c r="B59" s="19" t="s">
        <v>67</v>
      </c>
      <c r="C59" s="19" t="s">
        <v>72</v>
      </c>
      <c r="D59" s="19" t="s">
        <v>332</v>
      </c>
      <c r="E59" s="20" t="s">
        <v>73</v>
      </c>
      <c r="F59" s="19" t="s">
        <v>341</v>
      </c>
      <c r="G59" s="19" t="s">
        <v>342</v>
      </c>
      <c r="H59" s="21" t="s">
        <v>35</v>
      </c>
      <c r="I59" s="19" t="s">
        <v>6</v>
      </c>
      <c r="J59" s="19" t="s">
        <v>6</v>
      </c>
    </row>
    <row r="60" customFormat="false" ht="15" hidden="false" customHeight="false" outlineLevel="0" collapsed="false">
      <c r="A60" s="18" t="n">
        <v>18</v>
      </c>
      <c r="B60" s="19" t="s">
        <v>67</v>
      </c>
      <c r="C60" s="19" t="s">
        <v>72</v>
      </c>
      <c r="D60" s="19" t="s">
        <v>332</v>
      </c>
      <c r="E60" s="20" t="s">
        <v>73</v>
      </c>
      <c r="F60" s="19" t="s">
        <v>343</v>
      </c>
      <c r="G60" s="19" t="s">
        <v>344</v>
      </c>
      <c r="H60" s="21" t="s">
        <v>35</v>
      </c>
      <c r="I60" s="19" t="s">
        <v>6</v>
      </c>
      <c r="J60" s="19" t="s">
        <v>6</v>
      </c>
    </row>
    <row r="61" customFormat="false" ht="15" hidden="false" customHeight="false" outlineLevel="0" collapsed="false">
      <c r="A61" s="18" t="n">
        <v>19</v>
      </c>
      <c r="B61" s="19" t="s">
        <v>67</v>
      </c>
      <c r="C61" s="19" t="s">
        <v>74</v>
      </c>
      <c r="D61" s="19" t="s">
        <v>332</v>
      </c>
      <c r="E61" s="20" t="s">
        <v>75</v>
      </c>
      <c r="F61" s="19" t="s">
        <v>345</v>
      </c>
      <c r="G61" s="19" t="s">
        <v>346</v>
      </c>
      <c r="H61" s="21" t="s">
        <v>35</v>
      </c>
      <c r="I61" s="19" t="s">
        <v>6</v>
      </c>
      <c r="J61" s="19" t="s">
        <v>6</v>
      </c>
    </row>
    <row r="62" customFormat="false" ht="15" hidden="false" customHeight="false" outlineLevel="0" collapsed="false">
      <c r="A62" s="18" t="n">
        <v>19</v>
      </c>
      <c r="B62" s="19" t="s">
        <v>67</v>
      </c>
      <c r="C62" s="19" t="s">
        <v>74</v>
      </c>
      <c r="D62" s="19" t="s">
        <v>332</v>
      </c>
      <c r="E62" s="20" t="s">
        <v>75</v>
      </c>
      <c r="F62" s="19" t="s">
        <v>347</v>
      </c>
      <c r="G62" s="19" t="s">
        <v>348</v>
      </c>
      <c r="H62" s="21" t="s">
        <v>35</v>
      </c>
      <c r="I62" s="19" t="s">
        <v>6</v>
      </c>
      <c r="J62" s="19" t="s">
        <v>6</v>
      </c>
    </row>
    <row r="63" customFormat="false" ht="15" hidden="false" customHeight="false" outlineLevel="0" collapsed="false">
      <c r="A63" s="18" t="n">
        <v>19</v>
      </c>
      <c r="B63" s="19" t="s">
        <v>67</v>
      </c>
      <c r="C63" s="19" t="s">
        <v>74</v>
      </c>
      <c r="D63" s="19" t="s">
        <v>332</v>
      </c>
      <c r="E63" s="20" t="s">
        <v>75</v>
      </c>
      <c r="F63" s="19" t="s">
        <v>349</v>
      </c>
      <c r="G63" s="19" t="s">
        <v>350</v>
      </c>
      <c r="H63" s="21" t="s">
        <v>35</v>
      </c>
      <c r="I63" s="19" t="s">
        <v>6</v>
      </c>
      <c r="J63" s="19" t="s">
        <v>6</v>
      </c>
    </row>
    <row r="64" customFormat="false" ht="15" hidden="false" customHeight="false" outlineLevel="0" collapsed="false">
      <c r="A64" s="18" t="n">
        <v>19</v>
      </c>
      <c r="B64" s="19" t="s">
        <v>67</v>
      </c>
      <c r="C64" s="19" t="s">
        <v>74</v>
      </c>
      <c r="D64" s="19" t="s">
        <v>332</v>
      </c>
      <c r="E64" s="20" t="s">
        <v>75</v>
      </c>
      <c r="F64" s="19" t="s">
        <v>351</v>
      </c>
      <c r="G64" s="19" t="s">
        <v>352</v>
      </c>
      <c r="H64" s="21" t="s">
        <v>35</v>
      </c>
      <c r="I64" s="19" t="s">
        <v>6</v>
      </c>
      <c r="J64" s="19" t="s">
        <v>6</v>
      </c>
    </row>
    <row r="65" customFormat="false" ht="15" hidden="false" customHeight="false" outlineLevel="0" collapsed="false">
      <c r="A65" s="18" t="n">
        <v>19</v>
      </c>
      <c r="B65" s="19" t="s">
        <v>67</v>
      </c>
      <c r="C65" s="19" t="s">
        <v>74</v>
      </c>
      <c r="D65" s="19" t="s">
        <v>332</v>
      </c>
      <c r="E65" s="20" t="s">
        <v>75</v>
      </c>
      <c r="F65" s="19" t="s">
        <v>353</v>
      </c>
      <c r="G65" s="19" t="s">
        <v>354</v>
      </c>
      <c r="H65" s="21" t="s">
        <v>35</v>
      </c>
      <c r="I65" s="19" t="s">
        <v>6</v>
      </c>
      <c r="J65" s="19" t="s">
        <v>6</v>
      </c>
    </row>
    <row r="66" customFormat="false" ht="15" hidden="false" customHeight="false" outlineLevel="0" collapsed="false">
      <c r="A66" s="18" t="n">
        <v>19</v>
      </c>
      <c r="B66" s="19" t="s">
        <v>67</v>
      </c>
      <c r="C66" s="19" t="s">
        <v>74</v>
      </c>
      <c r="D66" s="19" t="s">
        <v>332</v>
      </c>
      <c r="E66" s="20" t="s">
        <v>75</v>
      </c>
      <c r="F66" s="19" t="s">
        <v>355</v>
      </c>
      <c r="G66" s="19" t="s">
        <v>356</v>
      </c>
      <c r="H66" s="21" t="s">
        <v>35</v>
      </c>
      <c r="I66" s="19" t="s">
        <v>6</v>
      </c>
      <c r="J66" s="19" t="s">
        <v>6</v>
      </c>
    </row>
    <row r="67" customFormat="false" ht="15" hidden="false" customHeight="false" outlineLevel="0" collapsed="false">
      <c r="A67" s="18" t="n">
        <v>20</v>
      </c>
      <c r="B67" s="19" t="s">
        <v>67</v>
      </c>
      <c r="C67" s="19" t="s">
        <v>76</v>
      </c>
      <c r="D67" s="19" t="s">
        <v>332</v>
      </c>
      <c r="E67" s="20" t="s">
        <v>77</v>
      </c>
      <c r="F67" s="19" t="s">
        <v>357</v>
      </c>
      <c r="G67" s="19" t="s">
        <v>358</v>
      </c>
      <c r="H67" s="21" t="s">
        <v>35</v>
      </c>
      <c r="I67" s="19" t="s">
        <v>6</v>
      </c>
      <c r="J67" s="19" t="s">
        <v>6</v>
      </c>
    </row>
    <row r="68" customFormat="false" ht="15" hidden="false" customHeight="false" outlineLevel="0" collapsed="false">
      <c r="A68" s="18" t="n">
        <v>20</v>
      </c>
      <c r="B68" s="19" t="s">
        <v>67</v>
      </c>
      <c r="C68" s="19" t="s">
        <v>76</v>
      </c>
      <c r="D68" s="19" t="s">
        <v>332</v>
      </c>
      <c r="E68" s="20" t="s">
        <v>77</v>
      </c>
      <c r="F68" s="19" t="s">
        <v>359</v>
      </c>
      <c r="G68" s="19" t="s">
        <v>360</v>
      </c>
      <c r="H68" s="21" t="s">
        <v>35</v>
      </c>
      <c r="I68" s="19" t="s">
        <v>6</v>
      </c>
      <c r="J68" s="19" t="s">
        <v>6</v>
      </c>
    </row>
    <row r="69" customFormat="false" ht="15" hidden="false" customHeight="false" outlineLevel="0" collapsed="false">
      <c r="A69" s="18" t="n">
        <v>20</v>
      </c>
      <c r="B69" s="19" t="s">
        <v>67</v>
      </c>
      <c r="C69" s="19" t="s">
        <v>76</v>
      </c>
      <c r="D69" s="19" t="s">
        <v>332</v>
      </c>
      <c r="E69" s="20" t="s">
        <v>77</v>
      </c>
      <c r="F69" s="19" t="s">
        <v>361</v>
      </c>
      <c r="G69" s="19" t="s">
        <v>362</v>
      </c>
      <c r="H69" s="21" t="s">
        <v>35</v>
      </c>
      <c r="I69" s="19" t="s">
        <v>6</v>
      </c>
      <c r="J69" s="19" t="s">
        <v>6</v>
      </c>
    </row>
    <row r="70" customFormat="false" ht="15" hidden="false" customHeight="false" outlineLevel="0" collapsed="false">
      <c r="A70" s="18" t="n">
        <v>20</v>
      </c>
      <c r="B70" s="19" t="s">
        <v>67</v>
      </c>
      <c r="C70" s="19" t="s">
        <v>76</v>
      </c>
      <c r="D70" s="19" t="s">
        <v>332</v>
      </c>
      <c r="E70" s="20" t="s">
        <v>77</v>
      </c>
      <c r="F70" s="19" t="s">
        <v>363</v>
      </c>
      <c r="G70" s="19" t="s">
        <v>364</v>
      </c>
      <c r="H70" s="21" t="s">
        <v>35</v>
      </c>
      <c r="I70" s="19" t="s">
        <v>6</v>
      </c>
      <c r="J70" s="19" t="s">
        <v>6</v>
      </c>
    </row>
    <row r="71" customFormat="false" ht="15" hidden="false" customHeight="false" outlineLevel="0" collapsed="false">
      <c r="A71" s="18" t="n">
        <v>20</v>
      </c>
      <c r="B71" s="19" t="s">
        <v>67</v>
      </c>
      <c r="C71" s="19" t="s">
        <v>76</v>
      </c>
      <c r="D71" s="19" t="s">
        <v>332</v>
      </c>
      <c r="E71" s="20" t="s">
        <v>77</v>
      </c>
      <c r="F71" s="19" t="s">
        <v>365</v>
      </c>
      <c r="G71" s="19" t="s">
        <v>366</v>
      </c>
      <c r="H71" s="21" t="s">
        <v>35</v>
      </c>
      <c r="I71" s="19" t="s">
        <v>6</v>
      </c>
      <c r="J71" s="19" t="s">
        <v>6</v>
      </c>
    </row>
    <row r="72" customFormat="false" ht="15" hidden="false" customHeight="false" outlineLevel="0" collapsed="false">
      <c r="A72" s="18" t="n">
        <v>20</v>
      </c>
      <c r="B72" s="19" t="s">
        <v>67</v>
      </c>
      <c r="C72" s="19" t="s">
        <v>76</v>
      </c>
      <c r="D72" s="19" t="s">
        <v>332</v>
      </c>
      <c r="E72" s="20" t="s">
        <v>77</v>
      </c>
      <c r="F72" s="19" t="s">
        <v>367</v>
      </c>
      <c r="G72" s="19" t="s">
        <v>368</v>
      </c>
      <c r="H72" s="21" t="s">
        <v>35</v>
      </c>
      <c r="I72" s="19" t="s">
        <v>6</v>
      </c>
      <c r="J72" s="19" t="s">
        <v>6</v>
      </c>
    </row>
    <row r="73" customFormat="false" ht="15" hidden="false" customHeight="false" outlineLevel="0" collapsed="false">
      <c r="A73" s="18" t="n">
        <v>21</v>
      </c>
      <c r="B73" s="19" t="s">
        <v>67</v>
      </c>
      <c r="C73" s="19" t="s">
        <v>78</v>
      </c>
      <c r="D73" s="19" t="s">
        <v>332</v>
      </c>
      <c r="E73" s="20" t="s">
        <v>79</v>
      </c>
      <c r="F73" s="19" t="s">
        <v>369</v>
      </c>
      <c r="G73" s="19" t="s">
        <v>370</v>
      </c>
      <c r="H73" s="21" t="s">
        <v>35</v>
      </c>
      <c r="I73" s="19" t="s">
        <v>6</v>
      </c>
      <c r="J73" s="19" t="s">
        <v>6</v>
      </c>
    </row>
    <row r="74" customFormat="false" ht="15" hidden="false" customHeight="false" outlineLevel="0" collapsed="false">
      <c r="A74" s="18" t="n">
        <v>21</v>
      </c>
      <c r="B74" s="19" t="s">
        <v>67</v>
      </c>
      <c r="C74" s="19" t="s">
        <v>78</v>
      </c>
      <c r="D74" s="19" t="s">
        <v>332</v>
      </c>
      <c r="E74" s="20" t="s">
        <v>79</v>
      </c>
      <c r="F74" s="19" t="s">
        <v>371</v>
      </c>
      <c r="G74" s="19" t="s">
        <v>372</v>
      </c>
      <c r="H74" s="21" t="s">
        <v>35</v>
      </c>
      <c r="I74" s="19" t="s">
        <v>6</v>
      </c>
      <c r="J74" s="19" t="s">
        <v>6</v>
      </c>
    </row>
    <row r="75" customFormat="false" ht="15" hidden="false" customHeight="false" outlineLevel="0" collapsed="false">
      <c r="A75" s="18" t="n">
        <v>21</v>
      </c>
      <c r="B75" s="19" t="s">
        <v>67</v>
      </c>
      <c r="C75" s="19" t="s">
        <v>78</v>
      </c>
      <c r="D75" s="19" t="s">
        <v>332</v>
      </c>
      <c r="E75" s="20" t="s">
        <v>79</v>
      </c>
      <c r="F75" s="19" t="s">
        <v>373</v>
      </c>
      <c r="G75" s="19" t="s">
        <v>374</v>
      </c>
      <c r="H75" s="21" t="s">
        <v>35</v>
      </c>
      <c r="I75" s="19" t="s">
        <v>6</v>
      </c>
      <c r="J75" s="19" t="s">
        <v>6</v>
      </c>
    </row>
    <row r="76" customFormat="false" ht="15" hidden="false" customHeight="false" outlineLevel="0" collapsed="false">
      <c r="A76" s="18" t="n">
        <v>21</v>
      </c>
      <c r="B76" s="19" t="s">
        <v>67</v>
      </c>
      <c r="C76" s="19" t="s">
        <v>78</v>
      </c>
      <c r="D76" s="19" t="s">
        <v>332</v>
      </c>
      <c r="E76" s="20" t="s">
        <v>79</v>
      </c>
      <c r="F76" s="19" t="s">
        <v>375</v>
      </c>
      <c r="G76" s="19" t="s">
        <v>376</v>
      </c>
      <c r="H76" s="21" t="s">
        <v>35</v>
      </c>
      <c r="I76" s="19" t="s">
        <v>6</v>
      </c>
      <c r="J76" s="19" t="s">
        <v>6</v>
      </c>
    </row>
    <row r="77" customFormat="false" ht="15" hidden="false" customHeight="false" outlineLevel="0" collapsed="false">
      <c r="A77" s="18" t="n">
        <v>21</v>
      </c>
      <c r="B77" s="19" t="s">
        <v>67</v>
      </c>
      <c r="C77" s="19" t="s">
        <v>78</v>
      </c>
      <c r="D77" s="19" t="s">
        <v>332</v>
      </c>
      <c r="E77" s="20" t="s">
        <v>79</v>
      </c>
      <c r="F77" s="19" t="s">
        <v>377</v>
      </c>
      <c r="G77" s="19" t="s">
        <v>378</v>
      </c>
      <c r="H77" s="21" t="s">
        <v>35</v>
      </c>
      <c r="I77" s="19" t="s">
        <v>6</v>
      </c>
      <c r="J77" s="19" t="s">
        <v>6</v>
      </c>
    </row>
    <row r="78" customFormat="false" ht="15" hidden="false" customHeight="false" outlineLevel="0" collapsed="false">
      <c r="A78" s="18" t="n">
        <v>21</v>
      </c>
      <c r="B78" s="19" t="s">
        <v>67</v>
      </c>
      <c r="C78" s="19" t="s">
        <v>78</v>
      </c>
      <c r="D78" s="19" t="s">
        <v>332</v>
      </c>
      <c r="E78" s="20" t="s">
        <v>79</v>
      </c>
      <c r="F78" s="19" t="s">
        <v>379</v>
      </c>
      <c r="G78" s="19" t="s">
        <v>380</v>
      </c>
      <c r="H78" s="21" t="s">
        <v>35</v>
      </c>
      <c r="I78" s="19" t="s">
        <v>6</v>
      </c>
      <c r="J78" s="19" t="s">
        <v>6</v>
      </c>
    </row>
    <row r="79" customFormat="false" ht="23.85" hidden="false" customHeight="false" outlineLevel="0" collapsed="false">
      <c r="A79" s="18" t="n">
        <v>24</v>
      </c>
      <c r="B79" s="19" t="s">
        <v>80</v>
      </c>
      <c r="C79" s="19" t="s">
        <v>86</v>
      </c>
      <c r="D79" s="19" t="s">
        <v>381</v>
      </c>
      <c r="E79" s="20" t="s">
        <v>87</v>
      </c>
      <c r="F79" s="19" t="s">
        <v>382</v>
      </c>
      <c r="G79" s="19" t="s">
        <v>383</v>
      </c>
      <c r="H79" s="21" t="s">
        <v>35</v>
      </c>
      <c r="I79" s="19" t="s">
        <v>6</v>
      </c>
      <c r="J79" s="19" t="s">
        <v>6</v>
      </c>
    </row>
    <row r="80" customFormat="false" ht="23.85" hidden="false" customHeight="false" outlineLevel="0" collapsed="false">
      <c r="A80" s="18" t="n">
        <v>24</v>
      </c>
      <c r="B80" s="19" t="s">
        <v>80</v>
      </c>
      <c r="C80" s="19" t="s">
        <v>86</v>
      </c>
      <c r="D80" s="19" t="s">
        <v>381</v>
      </c>
      <c r="E80" s="20" t="s">
        <v>87</v>
      </c>
      <c r="F80" s="19" t="s">
        <v>384</v>
      </c>
      <c r="G80" s="19" t="s">
        <v>385</v>
      </c>
      <c r="H80" s="21" t="s">
        <v>35</v>
      </c>
      <c r="I80" s="19" t="s">
        <v>6</v>
      </c>
      <c r="J80" s="19" t="s">
        <v>6</v>
      </c>
    </row>
    <row r="81" customFormat="false" ht="23.85" hidden="false" customHeight="false" outlineLevel="0" collapsed="false">
      <c r="A81" s="18" t="n">
        <v>24</v>
      </c>
      <c r="B81" s="19" t="s">
        <v>80</v>
      </c>
      <c r="C81" s="19" t="s">
        <v>86</v>
      </c>
      <c r="D81" s="19" t="s">
        <v>381</v>
      </c>
      <c r="E81" s="20" t="s">
        <v>87</v>
      </c>
      <c r="F81" s="19" t="s">
        <v>386</v>
      </c>
      <c r="G81" s="19" t="s">
        <v>387</v>
      </c>
      <c r="H81" s="21" t="s">
        <v>35</v>
      </c>
      <c r="I81" s="19" t="s">
        <v>6</v>
      </c>
      <c r="J81" s="19" t="s">
        <v>6</v>
      </c>
    </row>
    <row r="82" customFormat="false" ht="23.85" hidden="false" customHeight="false" outlineLevel="0" collapsed="false">
      <c r="A82" s="18" t="n">
        <v>24</v>
      </c>
      <c r="B82" s="19" t="s">
        <v>80</v>
      </c>
      <c r="C82" s="19" t="s">
        <v>86</v>
      </c>
      <c r="D82" s="19" t="s">
        <v>381</v>
      </c>
      <c r="E82" s="20" t="s">
        <v>87</v>
      </c>
      <c r="F82" s="19" t="s">
        <v>388</v>
      </c>
      <c r="G82" s="19" t="s">
        <v>389</v>
      </c>
      <c r="H82" s="21" t="s">
        <v>35</v>
      </c>
      <c r="I82" s="19" t="s">
        <v>6</v>
      </c>
      <c r="J82" s="19" t="s">
        <v>6</v>
      </c>
    </row>
    <row r="83" customFormat="false" ht="23.85" hidden="false" customHeight="false" outlineLevel="0" collapsed="false">
      <c r="A83" s="18" t="n">
        <v>24</v>
      </c>
      <c r="B83" s="19" t="s">
        <v>80</v>
      </c>
      <c r="C83" s="19" t="s">
        <v>86</v>
      </c>
      <c r="D83" s="19" t="s">
        <v>381</v>
      </c>
      <c r="E83" s="20" t="s">
        <v>87</v>
      </c>
      <c r="F83" s="19" t="s">
        <v>390</v>
      </c>
      <c r="G83" s="19" t="s">
        <v>391</v>
      </c>
      <c r="H83" s="21" t="s">
        <v>35</v>
      </c>
      <c r="I83" s="19" t="s">
        <v>6</v>
      </c>
      <c r="J83" s="19" t="s">
        <v>6</v>
      </c>
    </row>
    <row r="84" customFormat="false" ht="23.85" hidden="false" customHeight="false" outlineLevel="0" collapsed="false">
      <c r="A84" s="18" t="n">
        <v>24</v>
      </c>
      <c r="B84" s="19" t="s">
        <v>80</v>
      </c>
      <c r="C84" s="19" t="s">
        <v>86</v>
      </c>
      <c r="D84" s="19" t="s">
        <v>381</v>
      </c>
      <c r="E84" s="20" t="s">
        <v>87</v>
      </c>
      <c r="F84" s="19" t="s">
        <v>392</v>
      </c>
      <c r="G84" s="19" t="s">
        <v>393</v>
      </c>
      <c r="H84" s="21" t="s">
        <v>35</v>
      </c>
      <c r="I84" s="19" t="s">
        <v>6</v>
      </c>
      <c r="J84" s="19" t="s">
        <v>6</v>
      </c>
    </row>
    <row r="85" customFormat="false" ht="15" hidden="false" customHeight="false" outlineLevel="0" collapsed="false">
      <c r="A85" s="18" t="n">
        <v>34</v>
      </c>
      <c r="B85" s="19" t="s">
        <v>108</v>
      </c>
      <c r="C85" s="19" t="s">
        <v>109</v>
      </c>
      <c r="D85" s="19" t="s">
        <v>394</v>
      </c>
      <c r="E85" s="20" t="s">
        <v>110</v>
      </c>
      <c r="F85" s="19" t="s">
        <v>395</v>
      </c>
      <c r="G85" s="19" t="s">
        <v>396</v>
      </c>
      <c r="H85" s="21" t="s">
        <v>35</v>
      </c>
      <c r="I85" s="19" t="s">
        <v>6</v>
      </c>
      <c r="J85" s="19" t="s">
        <v>6</v>
      </c>
    </row>
    <row r="86" customFormat="false" ht="15" hidden="false" customHeight="false" outlineLevel="0" collapsed="false">
      <c r="A86" s="18" t="n">
        <v>34</v>
      </c>
      <c r="B86" s="19" t="s">
        <v>108</v>
      </c>
      <c r="C86" s="19" t="s">
        <v>109</v>
      </c>
      <c r="D86" s="19" t="s">
        <v>394</v>
      </c>
      <c r="E86" s="20" t="s">
        <v>110</v>
      </c>
      <c r="F86" s="19" t="s">
        <v>397</v>
      </c>
      <c r="G86" s="19" t="s">
        <v>398</v>
      </c>
      <c r="H86" s="21" t="s">
        <v>35</v>
      </c>
      <c r="I86" s="19" t="s">
        <v>6</v>
      </c>
      <c r="J86" s="19" t="s">
        <v>6</v>
      </c>
    </row>
    <row r="87" customFormat="false" ht="15" hidden="false" customHeight="false" outlineLevel="0" collapsed="false">
      <c r="A87" s="18" t="n">
        <v>34</v>
      </c>
      <c r="B87" s="19" t="s">
        <v>108</v>
      </c>
      <c r="C87" s="19" t="s">
        <v>109</v>
      </c>
      <c r="D87" s="19" t="s">
        <v>394</v>
      </c>
      <c r="E87" s="20" t="s">
        <v>110</v>
      </c>
      <c r="F87" s="19" t="s">
        <v>399</v>
      </c>
      <c r="G87" s="19" t="s">
        <v>400</v>
      </c>
      <c r="H87" s="21" t="s">
        <v>35</v>
      </c>
      <c r="I87" s="19" t="s">
        <v>6</v>
      </c>
      <c r="J87" s="19" t="s">
        <v>6</v>
      </c>
    </row>
    <row r="88" customFormat="false" ht="15" hidden="false" customHeight="false" outlineLevel="0" collapsed="false">
      <c r="A88" s="18" t="n">
        <v>34</v>
      </c>
      <c r="B88" s="19" t="s">
        <v>108</v>
      </c>
      <c r="C88" s="19" t="s">
        <v>109</v>
      </c>
      <c r="D88" s="19" t="s">
        <v>394</v>
      </c>
      <c r="E88" s="20" t="s">
        <v>110</v>
      </c>
      <c r="F88" s="19" t="s">
        <v>401</v>
      </c>
      <c r="G88" s="19" t="s">
        <v>402</v>
      </c>
      <c r="H88" s="21" t="s">
        <v>35</v>
      </c>
      <c r="I88" s="19" t="s">
        <v>6</v>
      </c>
      <c r="J88" s="19" t="s">
        <v>6</v>
      </c>
    </row>
    <row r="89" customFormat="false" ht="15" hidden="false" customHeight="false" outlineLevel="0" collapsed="false">
      <c r="A89" s="18" t="n">
        <v>34</v>
      </c>
      <c r="B89" s="19" t="s">
        <v>108</v>
      </c>
      <c r="C89" s="19" t="s">
        <v>109</v>
      </c>
      <c r="D89" s="19" t="s">
        <v>394</v>
      </c>
      <c r="E89" s="20" t="s">
        <v>110</v>
      </c>
      <c r="F89" s="19" t="s">
        <v>403</v>
      </c>
      <c r="G89" s="19" t="s">
        <v>404</v>
      </c>
      <c r="H89" s="21" t="s">
        <v>35</v>
      </c>
      <c r="I89" s="19" t="s">
        <v>6</v>
      </c>
      <c r="J89" s="19" t="s">
        <v>6</v>
      </c>
    </row>
    <row r="90" customFormat="false" ht="15" hidden="false" customHeight="false" outlineLevel="0" collapsed="false">
      <c r="A90" s="18" t="n">
        <v>34</v>
      </c>
      <c r="B90" s="19" t="s">
        <v>108</v>
      </c>
      <c r="C90" s="19" t="s">
        <v>109</v>
      </c>
      <c r="D90" s="19" t="s">
        <v>394</v>
      </c>
      <c r="E90" s="20" t="s">
        <v>110</v>
      </c>
      <c r="F90" s="19" t="s">
        <v>405</v>
      </c>
      <c r="G90" s="19" t="s">
        <v>406</v>
      </c>
      <c r="H90" s="21" t="s">
        <v>35</v>
      </c>
      <c r="I90" s="19" t="s">
        <v>6</v>
      </c>
      <c r="J90" s="19" t="s">
        <v>6</v>
      </c>
    </row>
    <row r="91" customFormat="false" ht="15" hidden="false" customHeight="false" outlineLevel="0" collapsed="false">
      <c r="A91" s="18" t="n">
        <v>35</v>
      </c>
      <c r="B91" s="19" t="s">
        <v>108</v>
      </c>
      <c r="C91" s="19" t="s">
        <v>111</v>
      </c>
      <c r="D91" s="19" t="s">
        <v>394</v>
      </c>
      <c r="E91" s="20" t="s">
        <v>112</v>
      </c>
      <c r="F91" s="19" t="s">
        <v>407</v>
      </c>
      <c r="G91" s="19" t="s">
        <v>408</v>
      </c>
      <c r="H91" s="22" t="s">
        <v>66</v>
      </c>
      <c r="I91" s="19" t="s">
        <v>6</v>
      </c>
      <c r="J91" s="19" t="s">
        <v>6</v>
      </c>
    </row>
    <row r="92" customFormat="false" ht="15" hidden="false" customHeight="false" outlineLevel="0" collapsed="false">
      <c r="A92" s="18" t="n">
        <v>35</v>
      </c>
      <c r="B92" s="19" t="s">
        <v>108</v>
      </c>
      <c r="C92" s="19" t="s">
        <v>111</v>
      </c>
      <c r="D92" s="19" t="s">
        <v>394</v>
      </c>
      <c r="E92" s="20" t="s">
        <v>112</v>
      </c>
      <c r="F92" s="19" t="s">
        <v>409</v>
      </c>
      <c r="G92" s="19" t="s">
        <v>410</v>
      </c>
      <c r="H92" s="22" t="s">
        <v>66</v>
      </c>
      <c r="I92" s="19" t="s">
        <v>6</v>
      </c>
      <c r="J92" s="19" t="s">
        <v>6</v>
      </c>
    </row>
    <row r="93" customFormat="false" ht="15" hidden="false" customHeight="false" outlineLevel="0" collapsed="false">
      <c r="A93" s="18" t="n">
        <v>35</v>
      </c>
      <c r="B93" s="19" t="s">
        <v>108</v>
      </c>
      <c r="C93" s="19" t="s">
        <v>111</v>
      </c>
      <c r="D93" s="19" t="s">
        <v>394</v>
      </c>
      <c r="E93" s="20" t="s">
        <v>112</v>
      </c>
      <c r="F93" s="19" t="s">
        <v>411</v>
      </c>
      <c r="G93" s="19" t="s">
        <v>412</v>
      </c>
      <c r="H93" s="22" t="s">
        <v>66</v>
      </c>
      <c r="I93" s="19" t="s">
        <v>6</v>
      </c>
      <c r="J93" s="19" t="s">
        <v>6</v>
      </c>
    </row>
    <row r="94" customFormat="false" ht="15" hidden="false" customHeight="false" outlineLevel="0" collapsed="false">
      <c r="A94" s="18" t="n">
        <v>35</v>
      </c>
      <c r="B94" s="19" t="s">
        <v>108</v>
      </c>
      <c r="C94" s="19" t="s">
        <v>111</v>
      </c>
      <c r="D94" s="19" t="s">
        <v>394</v>
      </c>
      <c r="E94" s="20" t="s">
        <v>112</v>
      </c>
      <c r="F94" s="19" t="s">
        <v>413</v>
      </c>
      <c r="G94" s="19" t="s">
        <v>414</v>
      </c>
      <c r="H94" s="22" t="s">
        <v>66</v>
      </c>
      <c r="I94" s="19" t="s">
        <v>6</v>
      </c>
      <c r="J94" s="19" t="s">
        <v>6</v>
      </c>
    </row>
    <row r="95" customFormat="false" ht="15" hidden="false" customHeight="false" outlineLevel="0" collapsed="false">
      <c r="A95" s="18" t="n">
        <v>36</v>
      </c>
      <c r="B95" s="19" t="s">
        <v>108</v>
      </c>
      <c r="C95" s="19" t="s">
        <v>113</v>
      </c>
      <c r="D95" s="19" t="s">
        <v>415</v>
      </c>
      <c r="E95" s="20" t="s">
        <v>114</v>
      </c>
      <c r="F95" s="19" t="s">
        <v>416</v>
      </c>
      <c r="G95" s="19" t="s">
        <v>417</v>
      </c>
      <c r="H95" s="21" t="s">
        <v>35</v>
      </c>
      <c r="I95" s="19" t="s">
        <v>6</v>
      </c>
      <c r="J95" s="19" t="s">
        <v>6</v>
      </c>
    </row>
    <row r="96" customFormat="false" ht="15" hidden="false" customHeight="false" outlineLevel="0" collapsed="false">
      <c r="A96" s="18" t="n">
        <v>36</v>
      </c>
      <c r="B96" s="19" t="s">
        <v>108</v>
      </c>
      <c r="C96" s="19" t="s">
        <v>113</v>
      </c>
      <c r="D96" s="19" t="s">
        <v>415</v>
      </c>
      <c r="E96" s="20" t="s">
        <v>114</v>
      </c>
      <c r="F96" s="19" t="s">
        <v>418</v>
      </c>
      <c r="G96" s="19" t="s">
        <v>419</v>
      </c>
      <c r="H96" s="21" t="s">
        <v>35</v>
      </c>
      <c r="I96" s="19" t="s">
        <v>6</v>
      </c>
      <c r="J96" s="19" t="s">
        <v>6</v>
      </c>
    </row>
    <row r="97" customFormat="false" ht="15" hidden="false" customHeight="false" outlineLevel="0" collapsed="false">
      <c r="A97" s="18" t="n">
        <v>36</v>
      </c>
      <c r="B97" s="19" t="s">
        <v>108</v>
      </c>
      <c r="C97" s="19" t="s">
        <v>113</v>
      </c>
      <c r="D97" s="19" t="s">
        <v>415</v>
      </c>
      <c r="E97" s="20" t="s">
        <v>114</v>
      </c>
      <c r="F97" s="19" t="s">
        <v>420</v>
      </c>
      <c r="G97" s="19" t="s">
        <v>421</v>
      </c>
      <c r="H97" s="21" t="s">
        <v>35</v>
      </c>
      <c r="I97" s="19" t="s">
        <v>6</v>
      </c>
      <c r="J97" s="19" t="s">
        <v>6</v>
      </c>
    </row>
    <row r="98" customFormat="false" ht="15" hidden="false" customHeight="false" outlineLevel="0" collapsed="false">
      <c r="A98" s="18" t="n">
        <v>36</v>
      </c>
      <c r="B98" s="19" t="s">
        <v>108</v>
      </c>
      <c r="C98" s="19" t="s">
        <v>113</v>
      </c>
      <c r="D98" s="19" t="s">
        <v>415</v>
      </c>
      <c r="E98" s="20" t="s">
        <v>114</v>
      </c>
      <c r="F98" s="19" t="s">
        <v>422</v>
      </c>
      <c r="G98" s="19" t="s">
        <v>423</v>
      </c>
      <c r="H98" s="21" t="s">
        <v>35</v>
      </c>
      <c r="I98" s="19" t="s">
        <v>6</v>
      </c>
      <c r="J98" s="19" t="s">
        <v>6</v>
      </c>
    </row>
    <row r="99" customFormat="false" ht="15" hidden="false" customHeight="false" outlineLevel="0" collapsed="false">
      <c r="A99" s="18" t="n">
        <v>37</v>
      </c>
      <c r="B99" s="19" t="s">
        <v>108</v>
      </c>
      <c r="C99" s="19" t="s">
        <v>115</v>
      </c>
      <c r="D99" s="19" t="s">
        <v>415</v>
      </c>
      <c r="E99" s="20" t="s">
        <v>116</v>
      </c>
      <c r="F99" s="19" t="s">
        <v>424</v>
      </c>
      <c r="G99" s="19" t="s">
        <v>425</v>
      </c>
      <c r="H99" s="21" t="s">
        <v>35</v>
      </c>
      <c r="I99" s="19" t="s">
        <v>6</v>
      </c>
      <c r="J99" s="19" t="s">
        <v>6</v>
      </c>
    </row>
    <row r="100" customFormat="false" ht="15" hidden="false" customHeight="false" outlineLevel="0" collapsed="false">
      <c r="A100" s="18" t="n">
        <v>37</v>
      </c>
      <c r="B100" s="19" t="s">
        <v>108</v>
      </c>
      <c r="C100" s="19" t="s">
        <v>115</v>
      </c>
      <c r="D100" s="19" t="s">
        <v>415</v>
      </c>
      <c r="E100" s="20" t="s">
        <v>116</v>
      </c>
      <c r="F100" s="19" t="s">
        <v>426</v>
      </c>
      <c r="G100" s="19" t="s">
        <v>427</v>
      </c>
      <c r="H100" s="21" t="s">
        <v>35</v>
      </c>
      <c r="I100" s="19" t="s">
        <v>6</v>
      </c>
      <c r="J100" s="19" t="s">
        <v>6</v>
      </c>
    </row>
    <row r="101" customFormat="false" ht="15" hidden="false" customHeight="false" outlineLevel="0" collapsed="false">
      <c r="A101" s="18" t="n">
        <v>37</v>
      </c>
      <c r="B101" s="19" t="s">
        <v>108</v>
      </c>
      <c r="C101" s="19" t="s">
        <v>115</v>
      </c>
      <c r="D101" s="19" t="s">
        <v>415</v>
      </c>
      <c r="E101" s="20" t="s">
        <v>116</v>
      </c>
      <c r="F101" s="19" t="s">
        <v>428</v>
      </c>
      <c r="G101" s="19" t="s">
        <v>429</v>
      </c>
      <c r="H101" s="21" t="s">
        <v>35</v>
      </c>
      <c r="I101" s="19" t="s">
        <v>6</v>
      </c>
      <c r="J101" s="19" t="s">
        <v>6</v>
      </c>
    </row>
    <row r="102" customFormat="false" ht="15" hidden="false" customHeight="false" outlineLevel="0" collapsed="false">
      <c r="A102" s="18" t="n">
        <v>37</v>
      </c>
      <c r="B102" s="19" t="s">
        <v>108</v>
      </c>
      <c r="C102" s="19" t="s">
        <v>115</v>
      </c>
      <c r="D102" s="19" t="s">
        <v>415</v>
      </c>
      <c r="E102" s="20" t="s">
        <v>116</v>
      </c>
      <c r="F102" s="19" t="s">
        <v>430</v>
      </c>
      <c r="G102" s="19" t="s">
        <v>431</v>
      </c>
      <c r="H102" s="21" t="s">
        <v>35</v>
      </c>
      <c r="I102" s="19" t="s">
        <v>6</v>
      </c>
      <c r="J102" s="19" t="s">
        <v>6</v>
      </c>
    </row>
    <row r="103" customFormat="false" ht="15" hidden="false" customHeight="false" outlineLevel="0" collapsed="false">
      <c r="A103" s="18" t="n">
        <v>37</v>
      </c>
      <c r="B103" s="19" t="s">
        <v>108</v>
      </c>
      <c r="C103" s="19" t="s">
        <v>115</v>
      </c>
      <c r="D103" s="19" t="s">
        <v>415</v>
      </c>
      <c r="E103" s="20" t="s">
        <v>116</v>
      </c>
      <c r="F103" s="19" t="s">
        <v>432</v>
      </c>
      <c r="G103" s="19" t="s">
        <v>433</v>
      </c>
      <c r="H103" s="21" t="s">
        <v>35</v>
      </c>
      <c r="I103" s="19" t="s">
        <v>6</v>
      </c>
      <c r="J103" s="19" t="s">
        <v>6</v>
      </c>
    </row>
    <row r="104" customFormat="false" ht="15" hidden="false" customHeight="false" outlineLevel="0" collapsed="false">
      <c r="A104" s="18" t="n">
        <v>37</v>
      </c>
      <c r="B104" s="19" t="s">
        <v>108</v>
      </c>
      <c r="C104" s="19" t="s">
        <v>115</v>
      </c>
      <c r="D104" s="19" t="s">
        <v>415</v>
      </c>
      <c r="E104" s="20" t="s">
        <v>116</v>
      </c>
      <c r="F104" s="19" t="s">
        <v>434</v>
      </c>
      <c r="G104" s="19" t="s">
        <v>435</v>
      </c>
      <c r="H104" s="21" t="s">
        <v>35</v>
      </c>
      <c r="I104" s="19" t="s">
        <v>6</v>
      </c>
      <c r="J104" s="19" t="s">
        <v>6</v>
      </c>
    </row>
    <row r="105" customFormat="false" ht="15" hidden="false" customHeight="false" outlineLevel="0" collapsed="false">
      <c r="A105" s="18" t="n">
        <v>37</v>
      </c>
      <c r="B105" s="19" t="s">
        <v>108</v>
      </c>
      <c r="C105" s="19" t="s">
        <v>115</v>
      </c>
      <c r="D105" s="19" t="s">
        <v>415</v>
      </c>
      <c r="E105" s="20" t="s">
        <v>116</v>
      </c>
      <c r="F105" s="19" t="s">
        <v>436</v>
      </c>
      <c r="G105" s="19" t="s">
        <v>437</v>
      </c>
      <c r="H105" s="21" t="s">
        <v>35</v>
      </c>
      <c r="I105" s="19" t="s">
        <v>6</v>
      </c>
      <c r="J105" s="19" t="s">
        <v>6</v>
      </c>
    </row>
    <row r="106" customFormat="false" ht="15" hidden="false" customHeight="false" outlineLevel="0" collapsed="false">
      <c r="A106" s="18" t="n">
        <v>37</v>
      </c>
      <c r="B106" s="19" t="s">
        <v>108</v>
      </c>
      <c r="C106" s="19" t="s">
        <v>115</v>
      </c>
      <c r="D106" s="19" t="s">
        <v>415</v>
      </c>
      <c r="E106" s="20" t="s">
        <v>116</v>
      </c>
      <c r="F106" s="19" t="s">
        <v>438</v>
      </c>
      <c r="G106" s="19" t="s">
        <v>439</v>
      </c>
      <c r="H106" s="21" t="s">
        <v>35</v>
      </c>
      <c r="I106" s="19" t="s">
        <v>6</v>
      </c>
      <c r="J106" s="19" t="s">
        <v>6</v>
      </c>
    </row>
    <row r="107" customFormat="false" ht="15" hidden="false" customHeight="false" outlineLevel="0" collapsed="false">
      <c r="A107" s="18" t="n">
        <v>38</v>
      </c>
      <c r="B107" s="19" t="s">
        <v>108</v>
      </c>
      <c r="C107" s="19" t="s">
        <v>117</v>
      </c>
      <c r="D107" s="19" t="s">
        <v>440</v>
      </c>
      <c r="E107" s="20" t="s">
        <v>118</v>
      </c>
      <c r="F107" s="19" t="s">
        <v>441</v>
      </c>
      <c r="G107" s="19" t="s">
        <v>442</v>
      </c>
      <c r="H107" s="21" t="s">
        <v>35</v>
      </c>
      <c r="I107" s="19" t="s">
        <v>6</v>
      </c>
      <c r="J107" s="19" t="s">
        <v>6</v>
      </c>
    </row>
    <row r="108" customFormat="false" ht="15" hidden="false" customHeight="false" outlineLevel="0" collapsed="false">
      <c r="A108" s="18" t="n">
        <v>38</v>
      </c>
      <c r="B108" s="19" t="s">
        <v>108</v>
      </c>
      <c r="C108" s="19" t="s">
        <v>117</v>
      </c>
      <c r="D108" s="19" t="s">
        <v>440</v>
      </c>
      <c r="E108" s="20" t="s">
        <v>118</v>
      </c>
      <c r="F108" s="19" t="s">
        <v>443</v>
      </c>
      <c r="G108" s="19" t="s">
        <v>444</v>
      </c>
      <c r="H108" s="21" t="s">
        <v>35</v>
      </c>
      <c r="I108" s="19" t="s">
        <v>6</v>
      </c>
      <c r="J108" s="19" t="s">
        <v>6</v>
      </c>
    </row>
    <row r="109" customFormat="false" ht="15" hidden="false" customHeight="false" outlineLevel="0" collapsed="false">
      <c r="A109" s="18" t="n">
        <v>38</v>
      </c>
      <c r="B109" s="19" t="s">
        <v>108</v>
      </c>
      <c r="C109" s="19" t="s">
        <v>117</v>
      </c>
      <c r="D109" s="19" t="s">
        <v>440</v>
      </c>
      <c r="E109" s="20" t="s">
        <v>118</v>
      </c>
      <c r="F109" s="19" t="s">
        <v>445</v>
      </c>
      <c r="G109" s="19" t="s">
        <v>446</v>
      </c>
      <c r="H109" s="21" t="s">
        <v>35</v>
      </c>
      <c r="I109" s="19" t="s">
        <v>6</v>
      </c>
      <c r="J109" s="19" t="s">
        <v>6</v>
      </c>
    </row>
    <row r="110" customFormat="false" ht="15" hidden="false" customHeight="false" outlineLevel="0" collapsed="false">
      <c r="A110" s="18" t="n">
        <v>38</v>
      </c>
      <c r="B110" s="19" t="s">
        <v>108</v>
      </c>
      <c r="C110" s="19" t="s">
        <v>117</v>
      </c>
      <c r="D110" s="19" t="s">
        <v>440</v>
      </c>
      <c r="E110" s="20" t="s">
        <v>118</v>
      </c>
      <c r="F110" s="19" t="s">
        <v>447</v>
      </c>
      <c r="G110" s="19" t="s">
        <v>448</v>
      </c>
      <c r="H110" s="21" t="s">
        <v>35</v>
      </c>
      <c r="I110" s="19" t="s">
        <v>6</v>
      </c>
      <c r="J110" s="19" t="s">
        <v>6</v>
      </c>
    </row>
    <row r="111" customFormat="false" ht="15" hidden="false" customHeight="false" outlineLevel="0" collapsed="false">
      <c r="A111" s="18" t="n">
        <v>38</v>
      </c>
      <c r="B111" s="19" t="s">
        <v>108</v>
      </c>
      <c r="C111" s="19" t="s">
        <v>117</v>
      </c>
      <c r="D111" s="19" t="s">
        <v>440</v>
      </c>
      <c r="E111" s="20" t="s">
        <v>118</v>
      </c>
      <c r="F111" s="19" t="s">
        <v>449</v>
      </c>
      <c r="G111" s="19" t="s">
        <v>450</v>
      </c>
      <c r="H111" s="21" t="s">
        <v>35</v>
      </c>
      <c r="I111" s="19" t="s">
        <v>6</v>
      </c>
      <c r="J111" s="19" t="s">
        <v>6</v>
      </c>
    </row>
    <row r="112" customFormat="false" ht="15" hidden="false" customHeight="false" outlineLevel="0" collapsed="false">
      <c r="A112" s="18" t="n">
        <v>68</v>
      </c>
      <c r="B112" s="19" t="s">
        <v>166</v>
      </c>
      <c r="C112" s="19" t="s">
        <v>185</v>
      </c>
      <c r="D112" s="19" t="s">
        <v>440</v>
      </c>
      <c r="E112" s="20" t="s">
        <v>186</v>
      </c>
      <c r="F112" s="19" t="s">
        <v>451</v>
      </c>
      <c r="G112" s="19" t="s">
        <v>452</v>
      </c>
      <c r="H112" s="21" t="s">
        <v>35</v>
      </c>
      <c r="I112" s="19" t="s">
        <v>6</v>
      </c>
      <c r="J112" s="19" t="s">
        <v>6</v>
      </c>
    </row>
    <row r="113" customFormat="false" ht="15" hidden="false" customHeight="false" outlineLevel="0" collapsed="false">
      <c r="A113" s="18" t="n">
        <v>68</v>
      </c>
      <c r="B113" s="19" t="s">
        <v>166</v>
      </c>
      <c r="C113" s="19" t="s">
        <v>185</v>
      </c>
      <c r="D113" s="19" t="s">
        <v>440</v>
      </c>
      <c r="E113" s="20" t="s">
        <v>186</v>
      </c>
      <c r="F113" s="19" t="s">
        <v>453</v>
      </c>
      <c r="G113" s="19" t="s">
        <v>454</v>
      </c>
      <c r="H113" s="21" t="s">
        <v>35</v>
      </c>
      <c r="I113" s="19" t="s">
        <v>6</v>
      </c>
      <c r="J113" s="19" t="s">
        <v>6</v>
      </c>
    </row>
    <row r="114" customFormat="false" ht="15" hidden="false" customHeight="false" outlineLevel="0" collapsed="false">
      <c r="A114" s="18" t="n">
        <v>68</v>
      </c>
      <c r="B114" s="19" t="s">
        <v>166</v>
      </c>
      <c r="C114" s="19" t="s">
        <v>185</v>
      </c>
      <c r="D114" s="19" t="s">
        <v>440</v>
      </c>
      <c r="E114" s="20" t="s">
        <v>186</v>
      </c>
      <c r="F114" s="19" t="s">
        <v>455</v>
      </c>
      <c r="G114" s="19" t="s">
        <v>456</v>
      </c>
      <c r="H114" s="21" t="s">
        <v>35</v>
      </c>
      <c r="I114" s="19" t="s">
        <v>6</v>
      </c>
      <c r="J114" s="19" t="s">
        <v>6</v>
      </c>
    </row>
    <row r="115" customFormat="false" ht="15" hidden="false" customHeight="false" outlineLevel="0" collapsed="false">
      <c r="A115" s="18" t="n">
        <v>68</v>
      </c>
      <c r="B115" s="19" t="s">
        <v>166</v>
      </c>
      <c r="C115" s="19" t="s">
        <v>185</v>
      </c>
      <c r="D115" s="19" t="s">
        <v>440</v>
      </c>
      <c r="E115" s="20" t="s">
        <v>186</v>
      </c>
      <c r="F115" s="19" t="s">
        <v>457</v>
      </c>
      <c r="G115" s="19" t="s">
        <v>458</v>
      </c>
      <c r="H115" s="21" t="s">
        <v>35</v>
      </c>
      <c r="I115" s="19" t="s">
        <v>6</v>
      </c>
      <c r="J115" s="19" t="s">
        <v>6</v>
      </c>
    </row>
    <row r="116" customFormat="false" ht="15" hidden="false" customHeight="false" outlineLevel="0" collapsed="false">
      <c r="A116" s="18" t="n">
        <v>78</v>
      </c>
      <c r="B116" s="19" t="s">
        <v>199</v>
      </c>
      <c r="C116" s="19" t="s">
        <v>212</v>
      </c>
      <c r="D116" s="19" t="s">
        <v>415</v>
      </c>
      <c r="E116" s="20" t="s">
        <v>213</v>
      </c>
      <c r="F116" s="19" t="s">
        <v>459</v>
      </c>
      <c r="G116" s="19" t="s">
        <v>460</v>
      </c>
      <c r="H116" s="23" t="s">
        <v>211</v>
      </c>
      <c r="I116" s="19" t="s">
        <v>6</v>
      </c>
      <c r="J116" s="19" t="s">
        <v>6</v>
      </c>
    </row>
    <row r="117" customFormat="false" ht="15" hidden="false" customHeight="false" outlineLevel="0" collapsed="false">
      <c r="A117" s="18" t="n">
        <v>78</v>
      </c>
      <c r="B117" s="19" t="s">
        <v>199</v>
      </c>
      <c r="C117" s="19" t="s">
        <v>212</v>
      </c>
      <c r="D117" s="19" t="s">
        <v>415</v>
      </c>
      <c r="E117" s="20" t="s">
        <v>213</v>
      </c>
      <c r="F117" s="19" t="s">
        <v>461</v>
      </c>
      <c r="G117" s="19" t="s">
        <v>462</v>
      </c>
      <c r="H117" s="23" t="s">
        <v>211</v>
      </c>
      <c r="I117" s="19" t="s">
        <v>6</v>
      </c>
      <c r="J117" s="19" t="s">
        <v>6</v>
      </c>
    </row>
    <row r="118" customFormat="false" ht="15" hidden="false" customHeight="false" outlineLevel="0" collapsed="false">
      <c r="A118" s="18" t="n">
        <v>79</v>
      </c>
      <c r="B118" s="19" t="s">
        <v>199</v>
      </c>
      <c r="C118" s="19" t="s">
        <v>214</v>
      </c>
      <c r="D118" s="19" t="s">
        <v>332</v>
      </c>
      <c r="E118" s="20" t="s">
        <v>215</v>
      </c>
      <c r="F118" s="19" t="s">
        <v>463</v>
      </c>
      <c r="G118" s="19" t="s">
        <v>464</v>
      </c>
      <c r="H118" s="23" t="s">
        <v>211</v>
      </c>
      <c r="I118" s="19" t="s">
        <v>6</v>
      </c>
      <c r="J118" s="19" t="s">
        <v>6</v>
      </c>
    </row>
    <row r="119" customFormat="false" ht="15" hidden="false" customHeight="false" outlineLevel="0" collapsed="false">
      <c r="A119" s="18" t="n">
        <v>79</v>
      </c>
      <c r="B119" s="19" t="s">
        <v>199</v>
      </c>
      <c r="C119" s="19" t="s">
        <v>214</v>
      </c>
      <c r="D119" s="19" t="s">
        <v>332</v>
      </c>
      <c r="E119" s="20" t="s">
        <v>215</v>
      </c>
      <c r="F119" s="19" t="s">
        <v>465</v>
      </c>
      <c r="G119" s="19" t="s">
        <v>466</v>
      </c>
      <c r="H119" s="23" t="s">
        <v>211</v>
      </c>
      <c r="I119" s="19" t="s">
        <v>6</v>
      </c>
      <c r="J119" s="19" t="s">
        <v>6</v>
      </c>
    </row>
    <row r="120" customFormat="false" ht="15" hidden="false" customHeight="false" outlineLevel="0" collapsed="false">
      <c r="A120" s="18" t="n">
        <v>80</v>
      </c>
      <c r="B120" s="19" t="s">
        <v>199</v>
      </c>
      <c r="C120" s="19" t="s">
        <v>216</v>
      </c>
      <c r="D120" s="19" t="s">
        <v>381</v>
      </c>
      <c r="E120" s="20" t="s">
        <v>217</v>
      </c>
      <c r="F120" s="19" t="s">
        <v>467</v>
      </c>
      <c r="G120" s="19" t="s">
        <v>468</v>
      </c>
      <c r="H120" s="23" t="s">
        <v>211</v>
      </c>
      <c r="I120" s="19" t="s">
        <v>6</v>
      </c>
      <c r="J120" s="19" t="s">
        <v>6</v>
      </c>
    </row>
    <row r="121" customFormat="false" ht="15" hidden="false" customHeight="false" outlineLevel="0" collapsed="false">
      <c r="A121" s="18" t="n">
        <v>80</v>
      </c>
      <c r="B121" s="19" t="s">
        <v>199</v>
      </c>
      <c r="C121" s="19" t="s">
        <v>216</v>
      </c>
      <c r="D121" s="19" t="s">
        <v>381</v>
      </c>
      <c r="E121" s="20" t="s">
        <v>217</v>
      </c>
      <c r="F121" s="19" t="s">
        <v>469</v>
      </c>
      <c r="G121" s="19" t="s">
        <v>470</v>
      </c>
      <c r="H121" s="23" t="s">
        <v>211</v>
      </c>
      <c r="I121" s="19" t="s">
        <v>6</v>
      </c>
      <c r="J121" s="19" t="s">
        <v>6</v>
      </c>
    </row>
  </sheetData>
  <autoFilter ref="A1:J121"/>
  <dataValidations count="3">
    <dataValidation allowBlank="false" errorStyle="stop" operator="between" showDropDown="false" showErrorMessage="false" showInputMessage="false" sqref="I2:I121" type="list">
      <formula1>"Not Started,In Progress,Done"</formula1>
      <formula2>0</formula2>
    </dataValidation>
    <dataValidation allowBlank="false" errorStyle="stop" operator="between" showDropDown="false" showErrorMessage="false" showInputMessage="false" sqref="J2:J121" type="list">
      <formula1>"Not Started,Script Ready,Reel Made,Watched"</formula1>
      <formula2>0</formula2>
    </dataValidation>
    <dataValidation allowBlank="false" errorStyle="stop" operator="between" showDropDown="false" showErrorMessage="false" showInputMessage="false" sqref="H2:H121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48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7"/>
  </cols>
  <sheetData>
    <row r="1" customFormat="false" ht="30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218</v>
      </c>
      <c r="E1" s="3" t="s">
        <v>26</v>
      </c>
      <c r="F1" s="3" t="s">
        <v>219</v>
      </c>
      <c r="G1" s="3" t="s">
        <v>220</v>
      </c>
      <c r="H1" s="3" t="s">
        <v>27</v>
      </c>
      <c r="I1" s="3" t="s">
        <v>221</v>
      </c>
      <c r="J1" s="3" t="s">
        <v>222</v>
      </c>
    </row>
    <row r="2" customFormat="false" ht="15" hidden="false" customHeight="false" outlineLevel="0" collapsed="false">
      <c r="A2" s="18" t="n">
        <v>10</v>
      </c>
      <c r="B2" s="19" t="s">
        <v>53</v>
      </c>
      <c r="C2" s="19" t="s">
        <v>54</v>
      </c>
      <c r="D2" s="19" t="s">
        <v>471</v>
      </c>
      <c r="E2" s="20" t="s">
        <v>55</v>
      </c>
      <c r="F2" s="19" t="s">
        <v>472</v>
      </c>
      <c r="G2" s="19" t="s">
        <v>473</v>
      </c>
      <c r="H2" s="21" t="s">
        <v>35</v>
      </c>
      <c r="I2" s="19" t="s">
        <v>6</v>
      </c>
      <c r="J2" s="19" t="s">
        <v>6</v>
      </c>
    </row>
    <row r="3" customFormat="false" ht="15" hidden="false" customHeight="false" outlineLevel="0" collapsed="false">
      <c r="A3" s="18" t="n">
        <v>10</v>
      </c>
      <c r="B3" s="19" t="s">
        <v>53</v>
      </c>
      <c r="C3" s="19" t="s">
        <v>54</v>
      </c>
      <c r="D3" s="19" t="s">
        <v>471</v>
      </c>
      <c r="E3" s="20" t="s">
        <v>55</v>
      </c>
      <c r="F3" s="19" t="s">
        <v>474</v>
      </c>
      <c r="G3" s="19" t="s">
        <v>475</v>
      </c>
      <c r="H3" s="21" t="s">
        <v>35</v>
      </c>
      <c r="I3" s="19" t="s">
        <v>6</v>
      </c>
      <c r="J3" s="19" t="s">
        <v>6</v>
      </c>
    </row>
    <row r="4" customFormat="false" ht="15" hidden="false" customHeight="false" outlineLevel="0" collapsed="false">
      <c r="A4" s="18" t="n">
        <v>10</v>
      </c>
      <c r="B4" s="19" t="s">
        <v>53</v>
      </c>
      <c r="C4" s="19" t="s">
        <v>54</v>
      </c>
      <c r="D4" s="19" t="s">
        <v>471</v>
      </c>
      <c r="E4" s="20" t="s">
        <v>55</v>
      </c>
      <c r="F4" s="19" t="s">
        <v>476</v>
      </c>
      <c r="G4" s="19" t="s">
        <v>477</v>
      </c>
      <c r="H4" s="21" t="s">
        <v>35</v>
      </c>
      <c r="I4" s="19" t="s">
        <v>6</v>
      </c>
      <c r="J4" s="19" t="s">
        <v>6</v>
      </c>
    </row>
    <row r="5" customFormat="false" ht="15" hidden="false" customHeight="false" outlineLevel="0" collapsed="false">
      <c r="A5" s="18" t="n">
        <v>10</v>
      </c>
      <c r="B5" s="19" t="s">
        <v>53</v>
      </c>
      <c r="C5" s="19" t="s">
        <v>54</v>
      </c>
      <c r="D5" s="19" t="s">
        <v>471</v>
      </c>
      <c r="E5" s="20" t="s">
        <v>55</v>
      </c>
      <c r="F5" s="19" t="s">
        <v>478</v>
      </c>
      <c r="G5" s="19" t="s">
        <v>479</v>
      </c>
      <c r="H5" s="21" t="s">
        <v>35</v>
      </c>
      <c r="I5" s="19" t="s">
        <v>6</v>
      </c>
      <c r="J5" s="19" t="s">
        <v>6</v>
      </c>
    </row>
    <row r="6" customFormat="false" ht="15" hidden="false" customHeight="false" outlineLevel="0" collapsed="false">
      <c r="A6" s="18" t="n">
        <v>10</v>
      </c>
      <c r="B6" s="19" t="s">
        <v>53</v>
      </c>
      <c r="C6" s="19" t="s">
        <v>54</v>
      </c>
      <c r="D6" s="19" t="s">
        <v>471</v>
      </c>
      <c r="E6" s="20" t="s">
        <v>55</v>
      </c>
      <c r="F6" s="19" t="s">
        <v>480</v>
      </c>
      <c r="G6" s="19" t="s">
        <v>481</v>
      </c>
      <c r="H6" s="21" t="s">
        <v>35</v>
      </c>
      <c r="I6" s="19" t="s">
        <v>6</v>
      </c>
      <c r="J6" s="19" t="s">
        <v>6</v>
      </c>
    </row>
    <row r="7" customFormat="false" ht="15" hidden="false" customHeight="false" outlineLevel="0" collapsed="false">
      <c r="A7" s="18" t="n">
        <v>10</v>
      </c>
      <c r="B7" s="19" t="s">
        <v>53</v>
      </c>
      <c r="C7" s="19" t="s">
        <v>54</v>
      </c>
      <c r="D7" s="19" t="s">
        <v>471</v>
      </c>
      <c r="E7" s="20" t="s">
        <v>55</v>
      </c>
      <c r="F7" s="19" t="s">
        <v>482</v>
      </c>
      <c r="G7" s="19" t="s">
        <v>483</v>
      </c>
      <c r="H7" s="21" t="s">
        <v>35</v>
      </c>
      <c r="I7" s="19" t="s">
        <v>6</v>
      </c>
      <c r="J7" s="19" t="s">
        <v>6</v>
      </c>
    </row>
    <row r="8" customFormat="false" ht="15" hidden="false" customHeight="false" outlineLevel="0" collapsed="false">
      <c r="A8" s="18" t="n">
        <v>11</v>
      </c>
      <c r="B8" s="19" t="s">
        <v>53</v>
      </c>
      <c r="C8" s="19" t="s">
        <v>56</v>
      </c>
      <c r="D8" s="19" t="s">
        <v>471</v>
      </c>
      <c r="E8" s="20" t="s">
        <v>57</v>
      </c>
      <c r="F8" s="19" t="s">
        <v>484</v>
      </c>
      <c r="G8" s="19" t="s">
        <v>485</v>
      </c>
      <c r="H8" s="21" t="s">
        <v>35</v>
      </c>
      <c r="I8" s="19" t="s">
        <v>6</v>
      </c>
      <c r="J8" s="19" t="s">
        <v>6</v>
      </c>
    </row>
    <row r="9" customFormat="false" ht="15" hidden="false" customHeight="false" outlineLevel="0" collapsed="false">
      <c r="A9" s="18" t="n">
        <v>11</v>
      </c>
      <c r="B9" s="19" t="s">
        <v>53</v>
      </c>
      <c r="C9" s="19" t="s">
        <v>56</v>
      </c>
      <c r="D9" s="19" t="s">
        <v>471</v>
      </c>
      <c r="E9" s="20" t="s">
        <v>57</v>
      </c>
      <c r="F9" s="19" t="s">
        <v>486</v>
      </c>
      <c r="G9" s="19" t="s">
        <v>487</v>
      </c>
      <c r="H9" s="21" t="s">
        <v>35</v>
      </c>
      <c r="I9" s="19" t="s">
        <v>6</v>
      </c>
      <c r="J9" s="19" t="s">
        <v>6</v>
      </c>
    </row>
    <row r="10" customFormat="false" ht="15" hidden="false" customHeight="false" outlineLevel="0" collapsed="false">
      <c r="A10" s="18" t="n">
        <v>11</v>
      </c>
      <c r="B10" s="19" t="s">
        <v>53</v>
      </c>
      <c r="C10" s="19" t="s">
        <v>56</v>
      </c>
      <c r="D10" s="19" t="s">
        <v>471</v>
      </c>
      <c r="E10" s="20" t="s">
        <v>57</v>
      </c>
      <c r="F10" s="19" t="s">
        <v>488</v>
      </c>
      <c r="G10" s="19" t="s">
        <v>489</v>
      </c>
      <c r="H10" s="21" t="s">
        <v>35</v>
      </c>
      <c r="I10" s="19" t="s">
        <v>6</v>
      </c>
      <c r="J10" s="19" t="s">
        <v>6</v>
      </c>
    </row>
    <row r="11" customFormat="false" ht="15" hidden="false" customHeight="false" outlineLevel="0" collapsed="false">
      <c r="A11" s="18" t="n">
        <v>11</v>
      </c>
      <c r="B11" s="19" t="s">
        <v>53</v>
      </c>
      <c r="C11" s="19" t="s">
        <v>56</v>
      </c>
      <c r="D11" s="19" t="s">
        <v>471</v>
      </c>
      <c r="E11" s="20" t="s">
        <v>57</v>
      </c>
      <c r="F11" s="19" t="s">
        <v>490</v>
      </c>
      <c r="G11" s="19" t="s">
        <v>491</v>
      </c>
      <c r="H11" s="21" t="s">
        <v>35</v>
      </c>
      <c r="I11" s="19" t="s">
        <v>6</v>
      </c>
      <c r="J11" s="19" t="s">
        <v>6</v>
      </c>
    </row>
    <row r="12" customFormat="false" ht="15" hidden="false" customHeight="false" outlineLevel="0" collapsed="false">
      <c r="A12" s="18" t="n">
        <v>11</v>
      </c>
      <c r="B12" s="19" t="s">
        <v>53</v>
      </c>
      <c r="C12" s="19" t="s">
        <v>56</v>
      </c>
      <c r="D12" s="19" t="s">
        <v>471</v>
      </c>
      <c r="E12" s="20" t="s">
        <v>57</v>
      </c>
      <c r="F12" s="19" t="s">
        <v>492</v>
      </c>
      <c r="G12" s="19" t="s">
        <v>493</v>
      </c>
      <c r="H12" s="21" t="s">
        <v>35</v>
      </c>
      <c r="I12" s="19" t="s">
        <v>6</v>
      </c>
      <c r="J12" s="19" t="s">
        <v>6</v>
      </c>
    </row>
    <row r="13" customFormat="false" ht="15" hidden="false" customHeight="false" outlineLevel="0" collapsed="false">
      <c r="A13" s="18" t="n">
        <v>12</v>
      </c>
      <c r="B13" s="19" t="s">
        <v>53</v>
      </c>
      <c r="C13" s="19" t="s">
        <v>58</v>
      </c>
      <c r="D13" s="19" t="s">
        <v>494</v>
      </c>
      <c r="E13" s="20" t="s">
        <v>59</v>
      </c>
      <c r="F13" s="19" t="s">
        <v>495</v>
      </c>
      <c r="G13" s="19" t="s">
        <v>496</v>
      </c>
      <c r="H13" s="21" t="s">
        <v>35</v>
      </c>
      <c r="I13" s="19" t="s">
        <v>6</v>
      </c>
      <c r="J13" s="19" t="s">
        <v>6</v>
      </c>
    </row>
    <row r="14" customFormat="false" ht="15" hidden="false" customHeight="false" outlineLevel="0" collapsed="false">
      <c r="A14" s="18" t="n">
        <v>12</v>
      </c>
      <c r="B14" s="19" t="s">
        <v>53</v>
      </c>
      <c r="C14" s="19" t="s">
        <v>58</v>
      </c>
      <c r="D14" s="19" t="s">
        <v>494</v>
      </c>
      <c r="E14" s="20" t="s">
        <v>59</v>
      </c>
      <c r="F14" s="19" t="s">
        <v>497</v>
      </c>
      <c r="G14" s="19" t="s">
        <v>498</v>
      </c>
      <c r="H14" s="21" t="s">
        <v>35</v>
      </c>
      <c r="I14" s="19" t="s">
        <v>6</v>
      </c>
      <c r="J14" s="19" t="s">
        <v>6</v>
      </c>
    </row>
    <row r="15" customFormat="false" ht="15" hidden="false" customHeight="false" outlineLevel="0" collapsed="false">
      <c r="A15" s="18" t="n">
        <v>12</v>
      </c>
      <c r="B15" s="19" t="s">
        <v>53</v>
      </c>
      <c r="C15" s="19" t="s">
        <v>58</v>
      </c>
      <c r="D15" s="19" t="s">
        <v>494</v>
      </c>
      <c r="E15" s="20" t="s">
        <v>59</v>
      </c>
      <c r="F15" s="19" t="s">
        <v>499</v>
      </c>
      <c r="G15" s="19" t="s">
        <v>500</v>
      </c>
      <c r="H15" s="21" t="s">
        <v>35</v>
      </c>
      <c r="I15" s="19" t="s">
        <v>6</v>
      </c>
      <c r="J15" s="19" t="s">
        <v>6</v>
      </c>
    </row>
    <row r="16" customFormat="false" ht="15" hidden="false" customHeight="false" outlineLevel="0" collapsed="false">
      <c r="A16" s="18" t="n">
        <v>12</v>
      </c>
      <c r="B16" s="19" t="s">
        <v>53</v>
      </c>
      <c r="C16" s="19" t="s">
        <v>58</v>
      </c>
      <c r="D16" s="19" t="s">
        <v>494</v>
      </c>
      <c r="E16" s="20" t="s">
        <v>59</v>
      </c>
      <c r="F16" s="19" t="s">
        <v>501</v>
      </c>
      <c r="G16" s="19" t="s">
        <v>502</v>
      </c>
      <c r="H16" s="21" t="s">
        <v>35</v>
      </c>
      <c r="I16" s="19" t="s">
        <v>6</v>
      </c>
      <c r="J16" s="19" t="s">
        <v>6</v>
      </c>
    </row>
    <row r="17" customFormat="false" ht="15" hidden="false" customHeight="false" outlineLevel="0" collapsed="false">
      <c r="A17" s="18" t="n">
        <v>12</v>
      </c>
      <c r="B17" s="19" t="s">
        <v>53</v>
      </c>
      <c r="C17" s="19" t="s">
        <v>58</v>
      </c>
      <c r="D17" s="19" t="s">
        <v>494</v>
      </c>
      <c r="E17" s="20" t="s">
        <v>59</v>
      </c>
      <c r="F17" s="19" t="s">
        <v>503</v>
      </c>
      <c r="G17" s="19" t="s">
        <v>504</v>
      </c>
      <c r="H17" s="21" t="s">
        <v>35</v>
      </c>
      <c r="I17" s="19" t="s">
        <v>6</v>
      </c>
      <c r="J17" s="19" t="s">
        <v>6</v>
      </c>
    </row>
    <row r="18" customFormat="false" ht="15" hidden="false" customHeight="false" outlineLevel="0" collapsed="false">
      <c r="A18" s="18" t="n">
        <v>12</v>
      </c>
      <c r="B18" s="19" t="s">
        <v>53</v>
      </c>
      <c r="C18" s="19" t="s">
        <v>58</v>
      </c>
      <c r="D18" s="19" t="s">
        <v>494</v>
      </c>
      <c r="E18" s="20" t="s">
        <v>59</v>
      </c>
      <c r="F18" s="19" t="s">
        <v>505</v>
      </c>
      <c r="G18" s="19" t="s">
        <v>506</v>
      </c>
      <c r="H18" s="21" t="s">
        <v>35</v>
      </c>
      <c r="I18" s="19" t="s">
        <v>6</v>
      </c>
      <c r="J18" s="19" t="s">
        <v>6</v>
      </c>
    </row>
    <row r="19" customFormat="false" ht="15" hidden="false" customHeight="false" outlineLevel="0" collapsed="false">
      <c r="A19" s="18" t="n">
        <v>13</v>
      </c>
      <c r="B19" s="19" t="s">
        <v>53</v>
      </c>
      <c r="C19" s="19" t="s">
        <v>60</v>
      </c>
      <c r="D19" s="19" t="s">
        <v>494</v>
      </c>
      <c r="E19" s="20" t="s">
        <v>61</v>
      </c>
      <c r="F19" s="19" t="s">
        <v>507</v>
      </c>
      <c r="G19" s="19" t="s">
        <v>508</v>
      </c>
      <c r="H19" s="21" t="s">
        <v>35</v>
      </c>
      <c r="I19" s="19" t="s">
        <v>6</v>
      </c>
      <c r="J19" s="19" t="s">
        <v>6</v>
      </c>
    </row>
    <row r="20" customFormat="false" ht="15" hidden="false" customHeight="false" outlineLevel="0" collapsed="false">
      <c r="A20" s="18" t="n">
        <v>13</v>
      </c>
      <c r="B20" s="19" t="s">
        <v>53</v>
      </c>
      <c r="C20" s="19" t="s">
        <v>60</v>
      </c>
      <c r="D20" s="19" t="s">
        <v>494</v>
      </c>
      <c r="E20" s="20" t="s">
        <v>61</v>
      </c>
      <c r="F20" s="19" t="s">
        <v>509</v>
      </c>
      <c r="G20" s="19" t="s">
        <v>510</v>
      </c>
      <c r="H20" s="21" t="s">
        <v>35</v>
      </c>
      <c r="I20" s="19" t="s">
        <v>6</v>
      </c>
      <c r="J20" s="19" t="s">
        <v>6</v>
      </c>
    </row>
    <row r="21" customFormat="false" ht="15" hidden="false" customHeight="false" outlineLevel="0" collapsed="false">
      <c r="A21" s="18" t="n">
        <v>13</v>
      </c>
      <c r="B21" s="19" t="s">
        <v>53</v>
      </c>
      <c r="C21" s="19" t="s">
        <v>60</v>
      </c>
      <c r="D21" s="19" t="s">
        <v>494</v>
      </c>
      <c r="E21" s="20" t="s">
        <v>61</v>
      </c>
      <c r="F21" s="19" t="s">
        <v>511</v>
      </c>
      <c r="G21" s="19" t="s">
        <v>512</v>
      </c>
      <c r="H21" s="21" t="s">
        <v>35</v>
      </c>
      <c r="I21" s="19" t="s">
        <v>6</v>
      </c>
      <c r="J21" s="19" t="s">
        <v>6</v>
      </c>
    </row>
    <row r="22" customFormat="false" ht="15" hidden="false" customHeight="false" outlineLevel="0" collapsed="false">
      <c r="A22" s="18" t="n">
        <v>13</v>
      </c>
      <c r="B22" s="19" t="s">
        <v>53</v>
      </c>
      <c r="C22" s="19" t="s">
        <v>60</v>
      </c>
      <c r="D22" s="19" t="s">
        <v>494</v>
      </c>
      <c r="E22" s="20" t="s">
        <v>61</v>
      </c>
      <c r="F22" s="19" t="s">
        <v>513</v>
      </c>
      <c r="G22" s="19" t="s">
        <v>514</v>
      </c>
      <c r="H22" s="21" t="s">
        <v>35</v>
      </c>
      <c r="I22" s="19" t="s">
        <v>6</v>
      </c>
      <c r="J22" s="19" t="s">
        <v>6</v>
      </c>
    </row>
    <row r="23" customFormat="false" ht="15" hidden="false" customHeight="false" outlineLevel="0" collapsed="false">
      <c r="A23" s="18" t="n">
        <v>13</v>
      </c>
      <c r="B23" s="19" t="s">
        <v>53</v>
      </c>
      <c r="C23" s="19" t="s">
        <v>60</v>
      </c>
      <c r="D23" s="19" t="s">
        <v>494</v>
      </c>
      <c r="E23" s="20" t="s">
        <v>61</v>
      </c>
      <c r="F23" s="19" t="s">
        <v>515</v>
      </c>
      <c r="G23" s="19" t="s">
        <v>516</v>
      </c>
      <c r="H23" s="21" t="s">
        <v>35</v>
      </c>
      <c r="I23" s="19" t="s">
        <v>6</v>
      </c>
      <c r="J23" s="19" t="s">
        <v>6</v>
      </c>
    </row>
    <row r="24" customFormat="false" ht="15" hidden="false" customHeight="false" outlineLevel="0" collapsed="false">
      <c r="A24" s="18" t="n">
        <v>14</v>
      </c>
      <c r="B24" s="19" t="s">
        <v>53</v>
      </c>
      <c r="C24" s="19" t="s">
        <v>62</v>
      </c>
      <c r="D24" s="19" t="s">
        <v>517</v>
      </c>
      <c r="E24" s="20" t="s">
        <v>63</v>
      </c>
      <c r="F24" s="19" t="s">
        <v>518</v>
      </c>
      <c r="G24" s="19" t="s">
        <v>519</v>
      </c>
      <c r="H24" s="21" t="s">
        <v>35</v>
      </c>
      <c r="I24" s="19" t="s">
        <v>6</v>
      </c>
      <c r="J24" s="19" t="s">
        <v>6</v>
      </c>
    </row>
    <row r="25" customFormat="false" ht="15" hidden="false" customHeight="false" outlineLevel="0" collapsed="false">
      <c r="A25" s="18" t="n">
        <v>14</v>
      </c>
      <c r="B25" s="19" t="s">
        <v>53</v>
      </c>
      <c r="C25" s="19" t="s">
        <v>62</v>
      </c>
      <c r="D25" s="19" t="s">
        <v>517</v>
      </c>
      <c r="E25" s="20" t="s">
        <v>63</v>
      </c>
      <c r="F25" s="19" t="s">
        <v>520</v>
      </c>
      <c r="G25" s="19" t="s">
        <v>521</v>
      </c>
      <c r="H25" s="21" t="s">
        <v>35</v>
      </c>
      <c r="I25" s="19" t="s">
        <v>6</v>
      </c>
      <c r="J25" s="19" t="s">
        <v>6</v>
      </c>
    </row>
    <row r="26" customFormat="false" ht="15" hidden="false" customHeight="false" outlineLevel="0" collapsed="false">
      <c r="A26" s="18" t="n">
        <v>14</v>
      </c>
      <c r="B26" s="19" t="s">
        <v>53</v>
      </c>
      <c r="C26" s="19" t="s">
        <v>62</v>
      </c>
      <c r="D26" s="19" t="s">
        <v>517</v>
      </c>
      <c r="E26" s="20" t="s">
        <v>63</v>
      </c>
      <c r="F26" s="19" t="s">
        <v>522</v>
      </c>
      <c r="G26" s="19" t="s">
        <v>523</v>
      </c>
      <c r="H26" s="21" t="s">
        <v>35</v>
      </c>
      <c r="I26" s="19" t="s">
        <v>6</v>
      </c>
      <c r="J26" s="19" t="s">
        <v>6</v>
      </c>
    </row>
    <row r="27" customFormat="false" ht="15" hidden="false" customHeight="false" outlineLevel="0" collapsed="false">
      <c r="A27" s="18" t="n">
        <v>14</v>
      </c>
      <c r="B27" s="19" t="s">
        <v>53</v>
      </c>
      <c r="C27" s="19" t="s">
        <v>62</v>
      </c>
      <c r="D27" s="19" t="s">
        <v>517</v>
      </c>
      <c r="E27" s="20" t="s">
        <v>63</v>
      </c>
      <c r="F27" s="19" t="s">
        <v>524</v>
      </c>
      <c r="G27" s="19" t="s">
        <v>525</v>
      </c>
      <c r="H27" s="21" t="s">
        <v>35</v>
      </c>
      <c r="I27" s="19" t="s">
        <v>6</v>
      </c>
      <c r="J27" s="19" t="s">
        <v>6</v>
      </c>
    </row>
    <row r="28" customFormat="false" ht="15" hidden="false" customHeight="false" outlineLevel="0" collapsed="false">
      <c r="A28" s="18" t="n">
        <v>14</v>
      </c>
      <c r="B28" s="19" t="s">
        <v>53</v>
      </c>
      <c r="C28" s="19" t="s">
        <v>62</v>
      </c>
      <c r="D28" s="19" t="s">
        <v>517</v>
      </c>
      <c r="E28" s="20" t="s">
        <v>63</v>
      </c>
      <c r="F28" s="19" t="s">
        <v>526</v>
      </c>
      <c r="G28" s="19" t="s">
        <v>527</v>
      </c>
      <c r="H28" s="21" t="s">
        <v>35</v>
      </c>
      <c r="I28" s="19" t="s">
        <v>6</v>
      </c>
      <c r="J28" s="19" t="s">
        <v>6</v>
      </c>
    </row>
    <row r="29" customFormat="false" ht="15" hidden="false" customHeight="false" outlineLevel="0" collapsed="false">
      <c r="A29" s="18" t="n">
        <v>14</v>
      </c>
      <c r="B29" s="19" t="s">
        <v>53</v>
      </c>
      <c r="C29" s="19" t="s">
        <v>62</v>
      </c>
      <c r="D29" s="19" t="s">
        <v>517</v>
      </c>
      <c r="E29" s="20" t="s">
        <v>63</v>
      </c>
      <c r="F29" s="19" t="s">
        <v>528</v>
      </c>
      <c r="G29" s="19" t="s">
        <v>529</v>
      </c>
      <c r="H29" s="21" t="s">
        <v>35</v>
      </c>
      <c r="I29" s="19" t="s">
        <v>6</v>
      </c>
      <c r="J29" s="19" t="s">
        <v>6</v>
      </c>
    </row>
    <row r="30" customFormat="false" ht="15" hidden="false" customHeight="false" outlineLevel="0" collapsed="false">
      <c r="A30" s="18" t="n">
        <v>15</v>
      </c>
      <c r="B30" s="19" t="s">
        <v>53</v>
      </c>
      <c r="C30" s="19" t="s">
        <v>64</v>
      </c>
      <c r="D30" s="19" t="s">
        <v>517</v>
      </c>
      <c r="E30" s="20" t="s">
        <v>65</v>
      </c>
      <c r="F30" s="19" t="s">
        <v>530</v>
      </c>
      <c r="G30" s="19" t="s">
        <v>531</v>
      </c>
      <c r="H30" s="22" t="s">
        <v>66</v>
      </c>
      <c r="I30" s="19" t="s">
        <v>6</v>
      </c>
      <c r="J30" s="19" t="s">
        <v>6</v>
      </c>
    </row>
    <row r="31" customFormat="false" ht="15" hidden="false" customHeight="false" outlineLevel="0" collapsed="false">
      <c r="A31" s="18" t="n">
        <v>15</v>
      </c>
      <c r="B31" s="19" t="s">
        <v>53</v>
      </c>
      <c r="C31" s="19" t="s">
        <v>64</v>
      </c>
      <c r="D31" s="19" t="s">
        <v>517</v>
      </c>
      <c r="E31" s="20" t="s">
        <v>65</v>
      </c>
      <c r="F31" s="19" t="s">
        <v>532</v>
      </c>
      <c r="G31" s="19" t="s">
        <v>533</v>
      </c>
      <c r="H31" s="22" t="s">
        <v>66</v>
      </c>
      <c r="I31" s="19" t="s">
        <v>6</v>
      </c>
      <c r="J31" s="19" t="s">
        <v>6</v>
      </c>
    </row>
    <row r="32" customFormat="false" ht="15" hidden="false" customHeight="false" outlineLevel="0" collapsed="false">
      <c r="A32" s="18" t="n">
        <v>15</v>
      </c>
      <c r="B32" s="19" t="s">
        <v>53</v>
      </c>
      <c r="C32" s="19" t="s">
        <v>64</v>
      </c>
      <c r="D32" s="19" t="s">
        <v>517</v>
      </c>
      <c r="E32" s="20" t="s">
        <v>65</v>
      </c>
      <c r="F32" s="19" t="s">
        <v>534</v>
      </c>
      <c r="G32" s="19" t="s">
        <v>535</v>
      </c>
      <c r="H32" s="22" t="s">
        <v>66</v>
      </c>
      <c r="I32" s="19" t="s">
        <v>6</v>
      </c>
      <c r="J32" s="19" t="s">
        <v>6</v>
      </c>
    </row>
    <row r="33" customFormat="false" ht="15" hidden="false" customHeight="false" outlineLevel="0" collapsed="false">
      <c r="A33" s="18" t="n">
        <v>15</v>
      </c>
      <c r="B33" s="19" t="s">
        <v>53</v>
      </c>
      <c r="C33" s="19" t="s">
        <v>64</v>
      </c>
      <c r="D33" s="19" t="s">
        <v>517</v>
      </c>
      <c r="E33" s="20" t="s">
        <v>65</v>
      </c>
      <c r="F33" s="19" t="s">
        <v>536</v>
      </c>
      <c r="G33" s="19" t="s">
        <v>537</v>
      </c>
      <c r="H33" s="22" t="s">
        <v>66</v>
      </c>
      <c r="I33" s="19" t="s">
        <v>6</v>
      </c>
      <c r="J33" s="19" t="s">
        <v>6</v>
      </c>
    </row>
    <row r="34" customFormat="false" ht="23.85" hidden="false" customHeight="false" outlineLevel="0" collapsed="false">
      <c r="A34" s="18" t="n">
        <v>22</v>
      </c>
      <c r="B34" s="19" t="s">
        <v>80</v>
      </c>
      <c r="C34" s="19" t="s">
        <v>81</v>
      </c>
      <c r="D34" s="19" t="s">
        <v>538</v>
      </c>
      <c r="E34" s="20" t="s">
        <v>82</v>
      </c>
      <c r="F34" s="19" t="s">
        <v>539</v>
      </c>
      <c r="G34" s="19" t="s">
        <v>540</v>
      </c>
      <c r="H34" s="21" t="s">
        <v>35</v>
      </c>
      <c r="I34" s="19" t="s">
        <v>6</v>
      </c>
      <c r="J34" s="19" t="s">
        <v>6</v>
      </c>
    </row>
    <row r="35" customFormat="false" ht="23.85" hidden="false" customHeight="false" outlineLevel="0" collapsed="false">
      <c r="A35" s="18" t="n">
        <v>22</v>
      </c>
      <c r="B35" s="19" t="s">
        <v>80</v>
      </c>
      <c r="C35" s="19" t="s">
        <v>81</v>
      </c>
      <c r="D35" s="19" t="s">
        <v>538</v>
      </c>
      <c r="E35" s="20" t="s">
        <v>82</v>
      </c>
      <c r="F35" s="19" t="s">
        <v>541</v>
      </c>
      <c r="G35" s="19" t="s">
        <v>542</v>
      </c>
      <c r="H35" s="21" t="s">
        <v>35</v>
      </c>
      <c r="I35" s="19" t="s">
        <v>6</v>
      </c>
      <c r="J35" s="19" t="s">
        <v>6</v>
      </c>
    </row>
    <row r="36" customFormat="false" ht="23.85" hidden="false" customHeight="false" outlineLevel="0" collapsed="false">
      <c r="A36" s="18" t="n">
        <v>22</v>
      </c>
      <c r="B36" s="19" t="s">
        <v>80</v>
      </c>
      <c r="C36" s="19" t="s">
        <v>81</v>
      </c>
      <c r="D36" s="19" t="s">
        <v>538</v>
      </c>
      <c r="E36" s="20" t="s">
        <v>82</v>
      </c>
      <c r="F36" s="19" t="s">
        <v>543</v>
      </c>
      <c r="G36" s="19" t="s">
        <v>544</v>
      </c>
      <c r="H36" s="21" t="s">
        <v>35</v>
      </c>
      <c r="I36" s="19" t="s">
        <v>6</v>
      </c>
      <c r="J36" s="19" t="s">
        <v>6</v>
      </c>
    </row>
    <row r="37" customFormat="false" ht="23.85" hidden="false" customHeight="false" outlineLevel="0" collapsed="false">
      <c r="A37" s="18" t="n">
        <v>22</v>
      </c>
      <c r="B37" s="19" t="s">
        <v>80</v>
      </c>
      <c r="C37" s="19" t="s">
        <v>81</v>
      </c>
      <c r="D37" s="19" t="s">
        <v>538</v>
      </c>
      <c r="E37" s="20" t="s">
        <v>82</v>
      </c>
      <c r="F37" s="19" t="s">
        <v>545</v>
      </c>
      <c r="G37" s="19" t="s">
        <v>546</v>
      </c>
      <c r="H37" s="21" t="s">
        <v>35</v>
      </c>
      <c r="I37" s="19" t="s">
        <v>6</v>
      </c>
      <c r="J37" s="19" t="s">
        <v>6</v>
      </c>
    </row>
    <row r="38" customFormat="false" ht="23.85" hidden="false" customHeight="false" outlineLevel="0" collapsed="false">
      <c r="A38" s="18" t="n">
        <v>22</v>
      </c>
      <c r="B38" s="19" t="s">
        <v>80</v>
      </c>
      <c r="C38" s="19" t="s">
        <v>81</v>
      </c>
      <c r="D38" s="19" t="s">
        <v>538</v>
      </c>
      <c r="E38" s="20" t="s">
        <v>82</v>
      </c>
      <c r="F38" s="19" t="s">
        <v>547</v>
      </c>
      <c r="G38" s="19" t="s">
        <v>548</v>
      </c>
      <c r="H38" s="21" t="s">
        <v>35</v>
      </c>
      <c r="I38" s="19" t="s">
        <v>6</v>
      </c>
      <c r="J38" s="19" t="s">
        <v>6</v>
      </c>
    </row>
    <row r="39" customFormat="false" ht="23.85" hidden="false" customHeight="false" outlineLevel="0" collapsed="false">
      <c r="A39" s="18" t="n">
        <v>23</v>
      </c>
      <c r="B39" s="19" t="s">
        <v>80</v>
      </c>
      <c r="C39" s="19" t="s">
        <v>84</v>
      </c>
      <c r="D39" s="19" t="s">
        <v>538</v>
      </c>
      <c r="E39" s="20" t="s">
        <v>85</v>
      </c>
      <c r="F39" s="19" t="s">
        <v>549</v>
      </c>
      <c r="G39" s="19" t="s">
        <v>550</v>
      </c>
      <c r="H39" s="21" t="s">
        <v>35</v>
      </c>
      <c r="I39" s="19" t="s">
        <v>6</v>
      </c>
      <c r="J39" s="19" t="s">
        <v>6</v>
      </c>
    </row>
    <row r="40" customFormat="false" ht="23.85" hidden="false" customHeight="false" outlineLevel="0" collapsed="false">
      <c r="A40" s="18" t="n">
        <v>23</v>
      </c>
      <c r="B40" s="19" t="s">
        <v>80</v>
      </c>
      <c r="C40" s="19" t="s">
        <v>84</v>
      </c>
      <c r="D40" s="19" t="s">
        <v>538</v>
      </c>
      <c r="E40" s="20" t="s">
        <v>85</v>
      </c>
      <c r="F40" s="19" t="s">
        <v>551</v>
      </c>
      <c r="G40" s="19" t="s">
        <v>552</v>
      </c>
      <c r="H40" s="21" t="s">
        <v>35</v>
      </c>
      <c r="I40" s="19" t="s">
        <v>6</v>
      </c>
      <c r="J40" s="19" t="s">
        <v>6</v>
      </c>
    </row>
    <row r="41" customFormat="false" ht="23.85" hidden="false" customHeight="false" outlineLevel="0" collapsed="false">
      <c r="A41" s="18" t="n">
        <v>23</v>
      </c>
      <c r="B41" s="19" t="s">
        <v>80</v>
      </c>
      <c r="C41" s="19" t="s">
        <v>84</v>
      </c>
      <c r="D41" s="19" t="s">
        <v>538</v>
      </c>
      <c r="E41" s="20" t="s">
        <v>85</v>
      </c>
      <c r="F41" s="19" t="s">
        <v>553</v>
      </c>
      <c r="G41" s="19" t="s">
        <v>554</v>
      </c>
      <c r="H41" s="21" t="s">
        <v>35</v>
      </c>
      <c r="I41" s="19" t="s">
        <v>6</v>
      </c>
      <c r="J41" s="19" t="s">
        <v>6</v>
      </c>
    </row>
    <row r="42" customFormat="false" ht="23.85" hidden="false" customHeight="false" outlineLevel="0" collapsed="false">
      <c r="A42" s="18" t="n">
        <v>23</v>
      </c>
      <c r="B42" s="19" t="s">
        <v>80</v>
      </c>
      <c r="C42" s="19" t="s">
        <v>84</v>
      </c>
      <c r="D42" s="19" t="s">
        <v>538</v>
      </c>
      <c r="E42" s="20" t="s">
        <v>85</v>
      </c>
      <c r="F42" s="19" t="s">
        <v>555</v>
      </c>
      <c r="G42" s="19" t="s">
        <v>556</v>
      </c>
      <c r="H42" s="21" t="s">
        <v>35</v>
      </c>
      <c r="I42" s="19" t="s">
        <v>6</v>
      </c>
      <c r="J42" s="19" t="s">
        <v>6</v>
      </c>
    </row>
    <row r="43" customFormat="false" ht="23.85" hidden="false" customHeight="false" outlineLevel="0" collapsed="false">
      <c r="A43" s="18" t="n">
        <v>25</v>
      </c>
      <c r="B43" s="19" t="s">
        <v>80</v>
      </c>
      <c r="C43" s="19" t="s">
        <v>88</v>
      </c>
      <c r="D43" s="19" t="s">
        <v>557</v>
      </c>
      <c r="E43" s="20" t="s">
        <v>89</v>
      </c>
      <c r="F43" s="19" t="s">
        <v>558</v>
      </c>
      <c r="G43" s="19" t="s">
        <v>559</v>
      </c>
      <c r="H43" s="21" t="s">
        <v>35</v>
      </c>
      <c r="I43" s="19" t="s">
        <v>6</v>
      </c>
      <c r="J43" s="19" t="s">
        <v>6</v>
      </c>
    </row>
    <row r="44" customFormat="false" ht="23.85" hidden="false" customHeight="false" outlineLevel="0" collapsed="false">
      <c r="A44" s="18" t="n">
        <v>25</v>
      </c>
      <c r="B44" s="19" t="s">
        <v>80</v>
      </c>
      <c r="C44" s="19" t="s">
        <v>88</v>
      </c>
      <c r="D44" s="19" t="s">
        <v>557</v>
      </c>
      <c r="E44" s="20" t="s">
        <v>89</v>
      </c>
      <c r="F44" s="19" t="s">
        <v>560</v>
      </c>
      <c r="G44" s="19" t="s">
        <v>561</v>
      </c>
      <c r="H44" s="21" t="s">
        <v>35</v>
      </c>
      <c r="I44" s="19" t="s">
        <v>6</v>
      </c>
      <c r="J44" s="19" t="s">
        <v>6</v>
      </c>
    </row>
    <row r="45" customFormat="false" ht="23.85" hidden="false" customHeight="false" outlineLevel="0" collapsed="false">
      <c r="A45" s="18" t="n">
        <v>25</v>
      </c>
      <c r="B45" s="19" t="s">
        <v>80</v>
      </c>
      <c r="C45" s="19" t="s">
        <v>88</v>
      </c>
      <c r="D45" s="19" t="s">
        <v>557</v>
      </c>
      <c r="E45" s="20" t="s">
        <v>89</v>
      </c>
      <c r="F45" s="19" t="s">
        <v>562</v>
      </c>
      <c r="G45" s="19" t="s">
        <v>563</v>
      </c>
      <c r="H45" s="21" t="s">
        <v>35</v>
      </c>
      <c r="I45" s="19" t="s">
        <v>6</v>
      </c>
      <c r="J45" s="19" t="s">
        <v>6</v>
      </c>
    </row>
    <row r="46" customFormat="false" ht="23.85" hidden="false" customHeight="false" outlineLevel="0" collapsed="false">
      <c r="A46" s="18" t="n">
        <v>25</v>
      </c>
      <c r="B46" s="19" t="s">
        <v>80</v>
      </c>
      <c r="C46" s="19" t="s">
        <v>88</v>
      </c>
      <c r="D46" s="19" t="s">
        <v>557</v>
      </c>
      <c r="E46" s="20" t="s">
        <v>89</v>
      </c>
      <c r="F46" s="19" t="s">
        <v>564</v>
      </c>
      <c r="G46" s="19" t="s">
        <v>565</v>
      </c>
      <c r="H46" s="21" t="s">
        <v>35</v>
      </c>
      <c r="I46" s="19" t="s">
        <v>6</v>
      </c>
      <c r="J46" s="19" t="s">
        <v>6</v>
      </c>
    </row>
    <row r="47" customFormat="false" ht="23.85" hidden="false" customHeight="false" outlineLevel="0" collapsed="false">
      <c r="A47" s="18" t="n">
        <v>25</v>
      </c>
      <c r="B47" s="19" t="s">
        <v>80</v>
      </c>
      <c r="C47" s="19" t="s">
        <v>88</v>
      </c>
      <c r="D47" s="19" t="s">
        <v>557</v>
      </c>
      <c r="E47" s="20" t="s">
        <v>89</v>
      </c>
      <c r="F47" s="19" t="s">
        <v>566</v>
      </c>
      <c r="G47" s="19" t="s">
        <v>567</v>
      </c>
      <c r="H47" s="21" t="s">
        <v>35</v>
      </c>
      <c r="I47" s="19" t="s">
        <v>6</v>
      </c>
      <c r="J47" s="19" t="s">
        <v>6</v>
      </c>
    </row>
    <row r="48" customFormat="false" ht="23.85" hidden="false" customHeight="false" outlineLevel="0" collapsed="false">
      <c r="A48" s="18" t="n">
        <v>25</v>
      </c>
      <c r="B48" s="19" t="s">
        <v>80</v>
      </c>
      <c r="C48" s="19" t="s">
        <v>88</v>
      </c>
      <c r="D48" s="19" t="s">
        <v>557</v>
      </c>
      <c r="E48" s="20" t="s">
        <v>89</v>
      </c>
      <c r="F48" s="19" t="s">
        <v>568</v>
      </c>
      <c r="G48" s="19" t="s">
        <v>569</v>
      </c>
      <c r="H48" s="21" t="s">
        <v>35</v>
      </c>
      <c r="I48" s="19" t="s">
        <v>6</v>
      </c>
      <c r="J48" s="19" t="s">
        <v>6</v>
      </c>
    </row>
    <row r="49" customFormat="false" ht="23.85" hidden="false" customHeight="false" outlineLevel="0" collapsed="false">
      <c r="A49" s="18" t="n">
        <v>26</v>
      </c>
      <c r="B49" s="19" t="s">
        <v>80</v>
      </c>
      <c r="C49" s="19" t="s">
        <v>91</v>
      </c>
      <c r="D49" s="19" t="s">
        <v>557</v>
      </c>
      <c r="E49" s="20" t="s">
        <v>92</v>
      </c>
      <c r="F49" s="19" t="s">
        <v>570</v>
      </c>
      <c r="G49" s="19" t="s">
        <v>571</v>
      </c>
      <c r="H49" s="21" t="s">
        <v>35</v>
      </c>
      <c r="I49" s="19" t="s">
        <v>6</v>
      </c>
      <c r="J49" s="19" t="s">
        <v>6</v>
      </c>
    </row>
    <row r="50" customFormat="false" ht="23.85" hidden="false" customHeight="false" outlineLevel="0" collapsed="false">
      <c r="A50" s="18" t="n">
        <v>26</v>
      </c>
      <c r="B50" s="19" t="s">
        <v>80</v>
      </c>
      <c r="C50" s="19" t="s">
        <v>91</v>
      </c>
      <c r="D50" s="19" t="s">
        <v>557</v>
      </c>
      <c r="E50" s="20" t="s">
        <v>92</v>
      </c>
      <c r="F50" s="19" t="s">
        <v>572</v>
      </c>
      <c r="G50" s="19" t="s">
        <v>573</v>
      </c>
      <c r="H50" s="21" t="s">
        <v>35</v>
      </c>
      <c r="I50" s="19" t="s">
        <v>6</v>
      </c>
      <c r="J50" s="19" t="s">
        <v>6</v>
      </c>
    </row>
    <row r="51" customFormat="false" ht="23.85" hidden="false" customHeight="false" outlineLevel="0" collapsed="false">
      <c r="A51" s="18" t="n">
        <v>26</v>
      </c>
      <c r="B51" s="19" t="s">
        <v>80</v>
      </c>
      <c r="C51" s="19" t="s">
        <v>91</v>
      </c>
      <c r="D51" s="19" t="s">
        <v>557</v>
      </c>
      <c r="E51" s="20" t="s">
        <v>92</v>
      </c>
      <c r="F51" s="19" t="s">
        <v>574</v>
      </c>
      <c r="G51" s="19" t="s">
        <v>575</v>
      </c>
      <c r="H51" s="21" t="s">
        <v>35</v>
      </c>
      <c r="I51" s="19" t="s">
        <v>6</v>
      </c>
      <c r="J51" s="19" t="s">
        <v>6</v>
      </c>
    </row>
    <row r="52" customFormat="false" ht="23.85" hidden="false" customHeight="false" outlineLevel="0" collapsed="false">
      <c r="A52" s="18" t="n">
        <v>26</v>
      </c>
      <c r="B52" s="19" t="s">
        <v>80</v>
      </c>
      <c r="C52" s="19" t="s">
        <v>91</v>
      </c>
      <c r="D52" s="19" t="s">
        <v>557</v>
      </c>
      <c r="E52" s="20" t="s">
        <v>92</v>
      </c>
      <c r="F52" s="19" t="s">
        <v>576</v>
      </c>
      <c r="G52" s="19" t="s">
        <v>577</v>
      </c>
      <c r="H52" s="21" t="s">
        <v>35</v>
      </c>
      <c r="I52" s="19" t="s">
        <v>6</v>
      </c>
      <c r="J52" s="19" t="s">
        <v>6</v>
      </c>
    </row>
    <row r="53" customFormat="false" ht="23.85" hidden="false" customHeight="false" outlineLevel="0" collapsed="false">
      <c r="A53" s="18" t="n">
        <v>26</v>
      </c>
      <c r="B53" s="19" t="s">
        <v>80</v>
      </c>
      <c r="C53" s="19" t="s">
        <v>91</v>
      </c>
      <c r="D53" s="19" t="s">
        <v>557</v>
      </c>
      <c r="E53" s="20" t="s">
        <v>92</v>
      </c>
      <c r="F53" s="19" t="s">
        <v>578</v>
      </c>
      <c r="G53" s="19" t="s">
        <v>579</v>
      </c>
      <c r="H53" s="21" t="s">
        <v>35</v>
      </c>
      <c r="I53" s="19" t="s">
        <v>6</v>
      </c>
      <c r="J53" s="19" t="s">
        <v>6</v>
      </c>
    </row>
    <row r="54" customFormat="false" ht="23.85" hidden="false" customHeight="false" outlineLevel="0" collapsed="false">
      <c r="A54" s="18" t="n">
        <v>26</v>
      </c>
      <c r="B54" s="19" t="s">
        <v>80</v>
      </c>
      <c r="C54" s="19" t="s">
        <v>91</v>
      </c>
      <c r="D54" s="19" t="s">
        <v>557</v>
      </c>
      <c r="E54" s="20" t="s">
        <v>92</v>
      </c>
      <c r="F54" s="19" t="s">
        <v>580</v>
      </c>
      <c r="G54" s="19" t="s">
        <v>581</v>
      </c>
      <c r="H54" s="21" t="s">
        <v>35</v>
      </c>
      <c r="I54" s="19" t="s">
        <v>6</v>
      </c>
      <c r="J54" s="19" t="s">
        <v>6</v>
      </c>
    </row>
    <row r="55" customFormat="false" ht="23.85" hidden="false" customHeight="false" outlineLevel="0" collapsed="false">
      <c r="A55" s="18" t="n">
        <v>27</v>
      </c>
      <c r="B55" s="19" t="s">
        <v>80</v>
      </c>
      <c r="C55" s="19" t="s">
        <v>93</v>
      </c>
      <c r="D55" s="19" t="s">
        <v>557</v>
      </c>
      <c r="E55" s="20" t="s">
        <v>94</v>
      </c>
      <c r="F55" s="19" t="s">
        <v>582</v>
      </c>
      <c r="G55" s="19" t="s">
        <v>583</v>
      </c>
      <c r="H55" s="22" t="s">
        <v>66</v>
      </c>
      <c r="I55" s="19" t="s">
        <v>6</v>
      </c>
      <c r="J55" s="19" t="s">
        <v>6</v>
      </c>
    </row>
    <row r="56" customFormat="false" ht="23.85" hidden="false" customHeight="false" outlineLevel="0" collapsed="false">
      <c r="A56" s="18" t="n">
        <v>27</v>
      </c>
      <c r="B56" s="19" t="s">
        <v>80</v>
      </c>
      <c r="C56" s="19" t="s">
        <v>93</v>
      </c>
      <c r="D56" s="19" t="s">
        <v>557</v>
      </c>
      <c r="E56" s="20" t="s">
        <v>94</v>
      </c>
      <c r="F56" s="19" t="s">
        <v>584</v>
      </c>
      <c r="G56" s="19" t="s">
        <v>585</v>
      </c>
      <c r="H56" s="22" t="s">
        <v>66</v>
      </c>
      <c r="I56" s="19" t="s">
        <v>6</v>
      </c>
      <c r="J56" s="19" t="s">
        <v>6</v>
      </c>
    </row>
    <row r="57" customFormat="false" ht="23.85" hidden="false" customHeight="false" outlineLevel="0" collapsed="false">
      <c r="A57" s="18" t="n">
        <v>27</v>
      </c>
      <c r="B57" s="19" t="s">
        <v>80</v>
      </c>
      <c r="C57" s="19" t="s">
        <v>93</v>
      </c>
      <c r="D57" s="19" t="s">
        <v>557</v>
      </c>
      <c r="E57" s="20" t="s">
        <v>94</v>
      </c>
      <c r="F57" s="19" t="s">
        <v>586</v>
      </c>
      <c r="G57" s="19" t="s">
        <v>587</v>
      </c>
      <c r="H57" s="22" t="s">
        <v>66</v>
      </c>
      <c r="I57" s="19" t="s">
        <v>6</v>
      </c>
      <c r="J57" s="19" t="s">
        <v>6</v>
      </c>
    </row>
    <row r="58" customFormat="false" ht="23.85" hidden="false" customHeight="false" outlineLevel="0" collapsed="false">
      <c r="A58" s="18" t="n">
        <v>27</v>
      </c>
      <c r="B58" s="19" t="s">
        <v>80</v>
      </c>
      <c r="C58" s="19" t="s">
        <v>93</v>
      </c>
      <c r="D58" s="19" t="s">
        <v>557</v>
      </c>
      <c r="E58" s="20" t="s">
        <v>94</v>
      </c>
      <c r="F58" s="19" t="s">
        <v>588</v>
      </c>
      <c r="G58" s="19" t="s">
        <v>589</v>
      </c>
      <c r="H58" s="22" t="s">
        <v>66</v>
      </c>
      <c r="I58" s="19" t="s">
        <v>6</v>
      </c>
      <c r="J58" s="19" t="s">
        <v>6</v>
      </c>
    </row>
    <row r="59" customFormat="false" ht="23.85" hidden="false" customHeight="false" outlineLevel="0" collapsed="false">
      <c r="A59" s="18" t="n">
        <v>28</v>
      </c>
      <c r="B59" s="19" t="s">
        <v>80</v>
      </c>
      <c r="C59" s="19" t="s">
        <v>95</v>
      </c>
      <c r="D59" s="19" t="s">
        <v>557</v>
      </c>
      <c r="E59" s="20" t="s">
        <v>96</v>
      </c>
      <c r="F59" s="19" t="s">
        <v>590</v>
      </c>
      <c r="G59" s="19" t="s">
        <v>591</v>
      </c>
      <c r="H59" s="21" t="s">
        <v>35</v>
      </c>
      <c r="I59" s="19" t="s">
        <v>6</v>
      </c>
      <c r="J59" s="19" t="s">
        <v>6</v>
      </c>
    </row>
    <row r="60" customFormat="false" ht="23.85" hidden="false" customHeight="false" outlineLevel="0" collapsed="false">
      <c r="A60" s="18" t="n">
        <v>28</v>
      </c>
      <c r="B60" s="19" t="s">
        <v>80</v>
      </c>
      <c r="C60" s="19" t="s">
        <v>95</v>
      </c>
      <c r="D60" s="19" t="s">
        <v>557</v>
      </c>
      <c r="E60" s="20" t="s">
        <v>96</v>
      </c>
      <c r="F60" s="19" t="s">
        <v>592</v>
      </c>
      <c r="G60" s="19" t="s">
        <v>593</v>
      </c>
      <c r="H60" s="21" t="s">
        <v>35</v>
      </c>
      <c r="I60" s="19" t="s">
        <v>6</v>
      </c>
      <c r="J60" s="19" t="s">
        <v>6</v>
      </c>
    </row>
    <row r="61" customFormat="false" ht="23.85" hidden="false" customHeight="false" outlineLevel="0" collapsed="false">
      <c r="A61" s="18" t="n">
        <v>28</v>
      </c>
      <c r="B61" s="19" t="s">
        <v>80</v>
      </c>
      <c r="C61" s="19" t="s">
        <v>95</v>
      </c>
      <c r="D61" s="19" t="s">
        <v>557</v>
      </c>
      <c r="E61" s="20" t="s">
        <v>96</v>
      </c>
      <c r="F61" s="19" t="s">
        <v>594</v>
      </c>
      <c r="G61" s="19" t="s">
        <v>595</v>
      </c>
      <c r="H61" s="21" t="s">
        <v>35</v>
      </c>
      <c r="I61" s="19" t="s">
        <v>6</v>
      </c>
      <c r="J61" s="19" t="s">
        <v>6</v>
      </c>
    </row>
    <row r="62" customFormat="false" ht="23.85" hidden="false" customHeight="false" outlineLevel="0" collapsed="false">
      <c r="A62" s="18" t="n">
        <v>28</v>
      </c>
      <c r="B62" s="19" t="s">
        <v>80</v>
      </c>
      <c r="C62" s="19" t="s">
        <v>95</v>
      </c>
      <c r="D62" s="19" t="s">
        <v>557</v>
      </c>
      <c r="E62" s="20" t="s">
        <v>96</v>
      </c>
      <c r="F62" s="19" t="s">
        <v>596</v>
      </c>
      <c r="G62" s="19" t="s">
        <v>597</v>
      </c>
      <c r="H62" s="21" t="s">
        <v>35</v>
      </c>
      <c r="I62" s="19" t="s">
        <v>6</v>
      </c>
      <c r="J62" s="19" t="s">
        <v>6</v>
      </c>
    </row>
    <row r="63" customFormat="false" ht="23.85" hidden="false" customHeight="false" outlineLevel="0" collapsed="false">
      <c r="A63" s="18" t="n">
        <v>29</v>
      </c>
      <c r="B63" s="19" t="s">
        <v>80</v>
      </c>
      <c r="C63" s="19" t="s">
        <v>97</v>
      </c>
      <c r="D63" s="19" t="s">
        <v>598</v>
      </c>
      <c r="E63" s="20" t="s">
        <v>98</v>
      </c>
      <c r="F63" s="19" t="s">
        <v>599</v>
      </c>
      <c r="G63" s="19" t="s">
        <v>600</v>
      </c>
      <c r="H63" s="21" t="s">
        <v>35</v>
      </c>
      <c r="I63" s="19" t="s">
        <v>6</v>
      </c>
      <c r="J63" s="19" t="s">
        <v>6</v>
      </c>
    </row>
    <row r="64" customFormat="false" ht="23.85" hidden="false" customHeight="false" outlineLevel="0" collapsed="false">
      <c r="A64" s="18" t="n">
        <v>29</v>
      </c>
      <c r="B64" s="19" t="s">
        <v>80</v>
      </c>
      <c r="C64" s="19" t="s">
        <v>97</v>
      </c>
      <c r="D64" s="19" t="s">
        <v>598</v>
      </c>
      <c r="E64" s="20" t="s">
        <v>98</v>
      </c>
      <c r="F64" s="19" t="s">
        <v>601</v>
      </c>
      <c r="G64" s="19" t="s">
        <v>602</v>
      </c>
      <c r="H64" s="21" t="s">
        <v>35</v>
      </c>
      <c r="I64" s="19" t="s">
        <v>6</v>
      </c>
      <c r="J64" s="19" t="s">
        <v>6</v>
      </c>
    </row>
    <row r="65" customFormat="false" ht="23.85" hidden="false" customHeight="false" outlineLevel="0" collapsed="false">
      <c r="A65" s="18" t="n">
        <v>29</v>
      </c>
      <c r="B65" s="19" t="s">
        <v>80</v>
      </c>
      <c r="C65" s="19" t="s">
        <v>97</v>
      </c>
      <c r="D65" s="19" t="s">
        <v>598</v>
      </c>
      <c r="E65" s="20" t="s">
        <v>98</v>
      </c>
      <c r="F65" s="19" t="s">
        <v>603</v>
      </c>
      <c r="G65" s="19" t="s">
        <v>604</v>
      </c>
      <c r="H65" s="21" t="s">
        <v>35</v>
      </c>
      <c r="I65" s="19" t="s">
        <v>6</v>
      </c>
      <c r="J65" s="19" t="s">
        <v>6</v>
      </c>
    </row>
    <row r="66" customFormat="false" ht="23.85" hidden="false" customHeight="false" outlineLevel="0" collapsed="false">
      <c r="A66" s="18" t="n">
        <v>29</v>
      </c>
      <c r="B66" s="19" t="s">
        <v>80</v>
      </c>
      <c r="C66" s="19" t="s">
        <v>97</v>
      </c>
      <c r="D66" s="19" t="s">
        <v>598</v>
      </c>
      <c r="E66" s="20" t="s">
        <v>98</v>
      </c>
      <c r="F66" s="19" t="s">
        <v>605</v>
      </c>
      <c r="G66" s="19" t="s">
        <v>606</v>
      </c>
      <c r="H66" s="21" t="s">
        <v>35</v>
      </c>
      <c r="I66" s="19" t="s">
        <v>6</v>
      </c>
      <c r="J66" s="19" t="s">
        <v>6</v>
      </c>
    </row>
    <row r="67" customFormat="false" ht="23.85" hidden="false" customHeight="false" outlineLevel="0" collapsed="false">
      <c r="A67" s="18" t="n">
        <v>30</v>
      </c>
      <c r="B67" s="19" t="s">
        <v>80</v>
      </c>
      <c r="C67" s="19" t="s">
        <v>100</v>
      </c>
      <c r="D67" s="19" t="s">
        <v>598</v>
      </c>
      <c r="E67" s="20" t="s">
        <v>101</v>
      </c>
      <c r="F67" s="19" t="s">
        <v>607</v>
      </c>
      <c r="G67" s="19" t="s">
        <v>608</v>
      </c>
      <c r="H67" s="21" t="s">
        <v>35</v>
      </c>
      <c r="I67" s="19" t="s">
        <v>6</v>
      </c>
      <c r="J67" s="19" t="s">
        <v>6</v>
      </c>
    </row>
    <row r="68" customFormat="false" ht="23.85" hidden="false" customHeight="false" outlineLevel="0" collapsed="false">
      <c r="A68" s="18" t="n">
        <v>30</v>
      </c>
      <c r="B68" s="19" t="s">
        <v>80</v>
      </c>
      <c r="C68" s="19" t="s">
        <v>100</v>
      </c>
      <c r="D68" s="19" t="s">
        <v>598</v>
      </c>
      <c r="E68" s="20" t="s">
        <v>101</v>
      </c>
      <c r="F68" s="19" t="s">
        <v>609</v>
      </c>
      <c r="G68" s="19" t="s">
        <v>610</v>
      </c>
      <c r="H68" s="21" t="s">
        <v>35</v>
      </c>
      <c r="I68" s="19" t="s">
        <v>6</v>
      </c>
      <c r="J68" s="19" t="s">
        <v>6</v>
      </c>
    </row>
    <row r="69" customFormat="false" ht="23.85" hidden="false" customHeight="false" outlineLevel="0" collapsed="false">
      <c r="A69" s="18" t="n">
        <v>30</v>
      </c>
      <c r="B69" s="19" t="s">
        <v>80</v>
      </c>
      <c r="C69" s="19" t="s">
        <v>100</v>
      </c>
      <c r="D69" s="19" t="s">
        <v>598</v>
      </c>
      <c r="E69" s="20" t="s">
        <v>101</v>
      </c>
      <c r="F69" s="19" t="s">
        <v>611</v>
      </c>
      <c r="G69" s="19" t="s">
        <v>612</v>
      </c>
      <c r="H69" s="21" t="s">
        <v>35</v>
      </c>
      <c r="I69" s="19" t="s">
        <v>6</v>
      </c>
      <c r="J69" s="19" t="s">
        <v>6</v>
      </c>
    </row>
    <row r="70" customFormat="false" ht="23.85" hidden="false" customHeight="false" outlineLevel="0" collapsed="false">
      <c r="A70" s="18" t="n">
        <v>30</v>
      </c>
      <c r="B70" s="19" t="s">
        <v>80</v>
      </c>
      <c r="C70" s="19" t="s">
        <v>100</v>
      </c>
      <c r="D70" s="19" t="s">
        <v>598</v>
      </c>
      <c r="E70" s="20" t="s">
        <v>101</v>
      </c>
      <c r="F70" s="19" t="s">
        <v>613</v>
      </c>
      <c r="G70" s="19" t="s">
        <v>614</v>
      </c>
      <c r="H70" s="21" t="s">
        <v>35</v>
      </c>
      <c r="I70" s="19" t="s">
        <v>6</v>
      </c>
      <c r="J70" s="19" t="s">
        <v>6</v>
      </c>
    </row>
    <row r="71" customFormat="false" ht="23.85" hidden="false" customHeight="false" outlineLevel="0" collapsed="false">
      <c r="A71" s="18" t="n">
        <v>30</v>
      </c>
      <c r="B71" s="19" t="s">
        <v>80</v>
      </c>
      <c r="C71" s="19" t="s">
        <v>100</v>
      </c>
      <c r="D71" s="19" t="s">
        <v>598</v>
      </c>
      <c r="E71" s="20" t="s">
        <v>101</v>
      </c>
      <c r="F71" s="19" t="s">
        <v>615</v>
      </c>
      <c r="G71" s="19" t="s">
        <v>616</v>
      </c>
      <c r="H71" s="21" t="s">
        <v>35</v>
      </c>
      <c r="I71" s="19" t="s">
        <v>6</v>
      </c>
      <c r="J71" s="19" t="s">
        <v>6</v>
      </c>
    </row>
    <row r="72" customFormat="false" ht="23.85" hidden="false" customHeight="false" outlineLevel="0" collapsed="false">
      <c r="A72" s="18" t="n">
        <v>30</v>
      </c>
      <c r="B72" s="19" t="s">
        <v>80</v>
      </c>
      <c r="C72" s="19" t="s">
        <v>100</v>
      </c>
      <c r="D72" s="19" t="s">
        <v>598</v>
      </c>
      <c r="E72" s="20" t="s">
        <v>101</v>
      </c>
      <c r="F72" s="19" t="s">
        <v>617</v>
      </c>
      <c r="G72" s="19" t="s">
        <v>618</v>
      </c>
      <c r="H72" s="21" t="s">
        <v>35</v>
      </c>
      <c r="I72" s="19" t="s">
        <v>6</v>
      </c>
      <c r="J72" s="19" t="s">
        <v>6</v>
      </c>
    </row>
    <row r="73" customFormat="false" ht="23.85" hidden="false" customHeight="false" outlineLevel="0" collapsed="false">
      <c r="A73" s="18" t="n">
        <v>31</v>
      </c>
      <c r="B73" s="19" t="s">
        <v>80</v>
      </c>
      <c r="C73" s="19" t="s">
        <v>102</v>
      </c>
      <c r="D73" s="19" t="s">
        <v>598</v>
      </c>
      <c r="E73" s="20" t="s">
        <v>103</v>
      </c>
      <c r="F73" s="19" t="s">
        <v>619</v>
      </c>
      <c r="G73" s="19" t="s">
        <v>620</v>
      </c>
      <c r="H73" s="21" t="s">
        <v>35</v>
      </c>
      <c r="I73" s="19" t="s">
        <v>6</v>
      </c>
      <c r="J73" s="19" t="s">
        <v>6</v>
      </c>
    </row>
    <row r="74" customFormat="false" ht="23.85" hidden="false" customHeight="false" outlineLevel="0" collapsed="false">
      <c r="A74" s="18" t="n">
        <v>31</v>
      </c>
      <c r="B74" s="19" t="s">
        <v>80</v>
      </c>
      <c r="C74" s="19" t="s">
        <v>102</v>
      </c>
      <c r="D74" s="19" t="s">
        <v>598</v>
      </c>
      <c r="E74" s="20" t="s">
        <v>103</v>
      </c>
      <c r="F74" s="19" t="s">
        <v>621</v>
      </c>
      <c r="G74" s="19" t="s">
        <v>622</v>
      </c>
      <c r="H74" s="21" t="s">
        <v>35</v>
      </c>
      <c r="I74" s="19" t="s">
        <v>6</v>
      </c>
      <c r="J74" s="19" t="s">
        <v>6</v>
      </c>
    </row>
    <row r="75" customFormat="false" ht="23.85" hidden="false" customHeight="false" outlineLevel="0" collapsed="false">
      <c r="A75" s="18" t="n">
        <v>31</v>
      </c>
      <c r="B75" s="19" t="s">
        <v>80</v>
      </c>
      <c r="C75" s="19" t="s">
        <v>102</v>
      </c>
      <c r="D75" s="19" t="s">
        <v>598</v>
      </c>
      <c r="E75" s="20" t="s">
        <v>103</v>
      </c>
      <c r="F75" s="19" t="s">
        <v>623</v>
      </c>
      <c r="G75" s="19" t="s">
        <v>624</v>
      </c>
      <c r="H75" s="21" t="s">
        <v>35</v>
      </c>
      <c r="I75" s="19" t="s">
        <v>6</v>
      </c>
      <c r="J75" s="19" t="s">
        <v>6</v>
      </c>
    </row>
    <row r="76" customFormat="false" ht="23.85" hidden="false" customHeight="false" outlineLevel="0" collapsed="false">
      <c r="A76" s="18" t="n">
        <v>31</v>
      </c>
      <c r="B76" s="19" t="s">
        <v>80</v>
      </c>
      <c r="C76" s="19" t="s">
        <v>102</v>
      </c>
      <c r="D76" s="19" t="s">
        <v>598</v>
      </c>
      <c r="E76" s="20" t="s">
        <v>103</v>
      </c>
      <c r="F76" s="19" t="s">
        <v>625</v>
      </c>
      <c r="G76" s="19" t="s">
        <v>626</v>
      </c>
      <c r="H76" s="21" t="s">
        <v>35</v>
      </c>
      <c r="I76" s="19" t="s">
        <v>6</v>
      </c>
      <c r="J76" s="19" t="s">
        <v>6</v>
      </c>
    </row>
    <row r="77" customFormat="false" ht="23.85" hidden="false" customHeight="false" outlineLevel="0" collapsed="false">
      <c r="A77" s="18" t="n">
        <v>31</v>
      </c>
      <c r="B77" s="19" t="s">
        <v>80</v>
      </c>
      <c r="C77" s="19" t="s">
        <v>102</v>
      </c>
      <c r="D77" s="19" t="s">
        <v>598</v>
      </c>
      <c r="E77" s="20" t="s">
        <v>103</v>
      </c>
      <c r="F77" s="19" t="s">
        <v>627</v>
      </c>
      <c r="G77" s="19" t="s">
        <v>628</v>
      </c>
      <c r="H77" s="21" t="s">
        <v>35</v>
      </c>
      <c r="I77" s="19" t="s">
        <v>6</v>
      </c>
      <c r="J77" s="19" t="s">
        <v>6</v>
      </c>
    </row>
    <row r="78" customFormat="false" ht="23.85" hidden="false" customHeight="false" outlineLevel="0" collapsed="false">
      <c r="A78" s="18" t="n">
        <v>32</v>
      </c>
      <c r="B78" s="19" t="s">
        <v>80</v>
      </c>
      <c r="C78" s="19" t="s">
        <v>104</v>
      </c>
      <c r="D78" s="19" t="s">
        <v>598</v>
      </c>
      <c r="E78" s="20" t="s">
        <v>105</v>
      </c>
      <c r="F78" s="19" t="s">
        <v>629</v>
      </c>
      <c r="G78" s="19" t="s">
        <v>630</v>
      </c>
      <c r="H78" s="21" t="s">
        <v>35</v>
      </c>
      <c r="I78" s="19" t="s">
        <v>6</v>
      </c>
      <c r="J78" s="19" t="s">
        <v>6</v>
      </c>
    </row>
    <row r="79" customFormat="false" ht="23.85" hidden="false" customHeight="false" outlineLevel="0" collapsed="false">
      <c r="A79" s="18" t="n">
        <v>32</v>
      </c>
      <c r="B79" s="19" t="s">
        <v>80</v>
      </c>
      <c r="C79" s="19" t="s">
        <v>104</v>
      </c>
      <c r="D79" s="19" t="s">
        <v>598</v>
      </c>
      <c r="E79" s="20" t="s">
        <v>105</v>
      </c>
      <c r="F79" s="19" t="s">
        <v>631</v>
      </c>
      <c r="G79" s="19" t="s">
        <v>632</v>
      </c>
      <c r="H79" s="21" t="s">
        <v>35</v>
      </c>
      <c r="I79" s="19" t="s">
        <v>6</v>
      </c>
      <c r="J79" s="19" t="s">
        <v>6</v>
      </c>
    </row>
    <row r="80" customFormat="false" ht="23.85" hidden="false" customHeight="false" outlineLevel="0" collapsed="false">
      <c r="A80" s="18" t="n">
        <v>32</v>
      </c>
      <c r="B80" s="19" t="s">
        <v>80</v>
      </c>
      <c r="C80" s="19" t="s">
        <v>104</v>
      </c>
      <c r="D80" s="19" t="s">
        <v>598</v>
      </c>
      <c r="E80" s="20" t="s">
        <v>105</v>
      </c>
      <c r="F80" s="19" t="s">
        <v>633</v>
      </c>
      <c r="G80" s="19" t="s">
        <v>634</v>
      </c>
      <c r="H80" s="21" t="s">
        <v>35</v>
      </c>
      <c r="I80" s="19" t="s">
        <v>6</v>
      </c>
      <c r="J80" s="19" t="s">
        <v>6</v>
      </c>
    </row>
    <row r="81" customFormat="false" ht="23.85" hidden="false" customHeight="false" outlineLevel="0" collapsed="false">
      <c r="A81" s="18" t="n">
        <v>32</v>
      </c>
      <c r="B81" s="19" t="s">
        <v>80</v>
      </c>
      <c r="C81" s="19" t="s">
        <v>104</v>
      </c>
      <c r="D81" s="19" t="s">
        <v>598</v>
      </c>
      <c r="E81" s="20" t="s">
        <v>105</v>
      </c>
      <c r="F81" s="19" t="s">
        <v>635</v>
      </c>
      <c r="G81" s="19" t="s">
        <v>636</v>
      </c>
      <c r="H81" s="21" t="s">
        <v>35</v>
      </c>
      <c r="I81" s="19" t="s">
        <v>6</v>
      </c>
      <c r="J81" s="19" t="s">
        <v>6</v>
      </c>
    </row>
    <row r="82" customFormat="false" ht="23.85" hidden="false" customHeight="false" outlineLevel="0" collapsed="false">
      <c r="A82" s="18" t="n">
        <v>33</v>
      </c>
      <c r="B82" s="19" t="s">
        <v>80</v>
      </c>
      <c r="C82" s="19" t="s">
        <v>106</v>
      </c>
      <c r="D82" s="19" t="s">
        <v>598</v>
      </c>
      <c r="E82" s="20" t="s">
        <v>107</v>
      </c>
      <c r="F82" s="19" t="s">
        <v>637</v>
      </c>
      <c r="G82" s="19" t="s">
        <v>638</v>
      </c>
      <c r="H82" s="22" t="s">
        <v>66</v>
      </c>
      <c r="I82" s="19" t="s">
        <v>6</v>
      </c>
      <c r="J82" s="19" t="s">
        <v>6</v>
      </c>
    </row>
    <row r="83" customFormat="false" ht="23.85" hidden="false" customHeight="false" outlineLevel="0" collapsed="false">
      <c r="A83" s="18" t="n">
        <v>33</v>
      </c>
      <c r="B83" s="19" t="s">
        <v>80</v>
      </c>
      <c r="C83" s="19" t="s">
        <v>106</v>
      </c>
      <c r="D83" s="19" t="s">
        <v>598</v>
      </c>
      <c r="E83" s="20" t="s">
        <v>107</v>
      </c>
      <c r="F83" s="19" t="s">
        <v>639</v>
      </c>
      <c r="G83" s="19" t="s">
        <v>640</v>
      </c>
      <c r="H83" s="22" t="s">
        <v>66</v>
      </c>
      <c r="I83" s="19" t="s">
        <v>6</v>
      </c>
      <c r="J83" s="19" t="s">
        <v>6</v>
      </c>
    </row>
    <row r="84" customFormat="false" ht="23.85" hidden="false" customHeight="false" outlineLevel="0" collapsed="false">
      <c r="A84" s="18" t="n">
        <v>33</v>
      </c>
      <c r="B84" s="19" t="s">
        <v>80</v>
      </c>
      <c r="C84" s="19" t="s">
        <v>106</v>
      </c>
      <c r="D84" s="19" t="s">
        <v>598</v>
      </c>
      <c r="E84" s="20" t="s">
        <v>107</v>
      </c>
      <c r="F84" s="19" t="s">
        <v>641</v>
      </c>
      <c r="G84" s="19" t="s">
        <v>642</v>
      </c>
      <c r="H84" s="22" t="s">
        <v>66</v>
      </c>
      <c r="I84" s="19" t="s">
        <v>6</v>
      </c>
      <c r="J84" s="19" t="s">
        <v>6</v>
      </c>
    </row>
    <row r="85" customFormat="false" ht="23.85" hidden="false" customHeight="false" outlineLevel="0" collapsed="false">
      <c r="A85" s="18" t="n">
        <v>33</v>
      </c>
      <c r="B85" s="19" t="s">
        <v>80</v>
      </c>
      <c r="C85" s="19" t="s">
        <v>106</v>
      </c>
      <c r="D85" s="19" t="s">
        <v>598</v>
      </c>
      <c r="E85" s="20" t="s">
        <v>107</v>
      </c>
      <c r="F85" s="19" t="s">
        <v>643</v>
      </c>
      <c r="G85" s="19" t="s">
        <v>644</v>
      </c>
      <c r="H85" s="22" t="s">
        <v>66</v>
      </c>
      <c r="I85" s="19" t="s">
        <v>6</v>
      </c>
      <c r="J85" s="19" t="s">
        <v>6</v>
      </c>
    </row>
    <row r="86" customFormat="false" ht="23.85" hidden="false" customHeight="false" outlineLevel="0" collapsed="false">
      <c r="A86" s="18" t="n">
        <v>33</v>
      </c>
      <c r="B86" s="19" t="s">
        <v>80</v>
      </c>
      <c r="C86" s="19" t="s">
        <v>106</v>
      </c>
      <c r="D86" s="19" t="s">
        <v>598</v>
      </c>
      <c r="E86" s="20" t="s">
        <v>107</v>
      </c>
      <c r="F86" s="19" t="s">
        <v>645</v>
      </c>
      <c r="G86" s="19" t="s">
        <v>646</v>
      </c>
      <c r="H86" s="22" t="s">
        <v>66</v>
      </c>
      <c r="I86" s="19" t="s">
        <v>6</v>
      </c>
      <c r="J86" s="19" t="s">
        <v>6</v>
      </c>
    </row>
    <row r="87" customFormat="false" ht="15" hidden="false" customHeight="false" outlineLevel="0" collapsed="false">
      <c r="A87" s="18" t="n">
        <v>39</v>
      </c>
      <c r="B87" s="19" t="s">
        <v>108</v>
      </c>
      <c r="C87" s="19" t="s">
        <v>119</v>
      </c>
      <c r="D87" s="19" t="s">
        <v>647</v>
      </c>
      <c r="E87" s="20" t="s">
        <v>120</v>
      </c>
      <c r="F87" s="19" t="s">
        <v>648</v>
      </c>
      <c r="G87" s="19" t="s">
        <v>649</v>
      </c>
      <c r="H87" s="21" t="s">
        <v>35</v>
      </c>
      <c r="I87" s="19" t="s">
        <v>6</v>
      </c>
      <c r="J87" s="19" t="s">
        <v>6</v>
      </c>
    </row>
    <row r="88" customFormat="false" ht="15" hidden="false" customHeight="false" outlineLevel="0" collapsed="false">
      <c r="A88" s="18" t="n">
        <v>39</v>
      </c>
      <c r="B88" s="19" t="s">
        <v>108</v>
      </c>
      <c r="C88" s="19" t="s">
        <v>119</v>
      </c>
      <c r="D88" s="19" t="s">
        <v>647</v>
      </c>
      <c r="E88" s="20" t="s">
        <v>120</v>
      </c>
      <c r="F88" s="19" t="s">
        <v>650</v>
      </c>
      <c r="G88" s="19" t="s">
        <v>651</v>
      </c>
      <c r="H88" s="21" t="s">
        <v>35</v>
      </c>
      <c r="I88" s="19" t="s">
        <v>6</v>
      </c>
      <c r="J88" s="19" t="s">
        <v>6</v>
      </c>
    </row>
    <row r="89" customFormat="false" ht="15" hidden="false" customHeight="false" outlineLevel="0" collapsed="false">
      <c r="A89" s="18" t="n">
        <v>39</v>
      </c>
      <c r="B89" s="19" t="s">
        <v>108</v>
      </c>
      <c r="C89" s="19" t="s">
        <v>119</v>
      </c>
      <c r="D89" s="19" t="s">
        <v>647</v>
      </c>
      <c r="E89" s="20" t="s">
        <v>120</v>
      </c>
      <c r="F89" s="19" t="s">
        <v>652</v>
      </c>
      <c r="G89" s="19" t="s">
        <v>653</v>
      </c>
      <c r="H89" s="21" t="s">
        <v>35</v>
      </c>
      <c r="I89" s="19" t="s">
        <v>6</v>
      </c>
      <c r="J89" s="19" t="s">
        <v>6</v>
      </c>
    </row>
    <row r="90" customFormat="false" ht="15" hidden="false" customHeight="false" outlineLevel="0" collapsed="false">
      <c r="A90" s="18" t="n">
        <v>39</v>
      </c>
      <c r="B90" s="19" t="s">
        <v>108</v>
      </c>
      <c r="C90" s="19" t="s">
        <v>119</v>
      </c>
      <c r="D90" s="19" t="s">
        <v>647</v>
      </c>
      <c r="E90" s="20" t="s">
        <v>120</v>
      </c>
      <c r="F90" s="19" t="s">
        <v>654</v>
      </c>
      <c r="G90" s="19" t="s">
        <v>655</v>
      </c>
      <c r="H90" s="21" t="s">
        <v>35</v>
      </c>
      <c r="I90" s="19" t="s">
        <v>6</v>
      </c>
      <c r="J90" s="19" t="s">
        <v>6</v>
      </c>
    </row>
    <row r="91" customFormat="false" ht="15" hidden="false" customHeight="false" outlineLevel="0" collapsed="false">
      <c r="A91" s="18" t="n">
        <v>40</v>
      </c>
      <c r="B91" s="19" t="s">
        <v>108</v>
      </c>
      <c r="C91" s="19" t="s">
        <v>121</v>
      </c>
      <c r="D91" s="19" t="s">
        <v>647</v>
      </c>
      <c r="E91" s="20" t="s">
        <v>122</v>
      </c>
      <c r="F91" s="19" t="s">
        <v>656</v>
      </c>
      <c r="G91" s="19" t="s">
        <v>657</v>
      </c>
      <c r="H91" s="21" t="s">
        <v>35</v>
      </c>
      <c r="I91" s="19" t="s">
        <v>6</v>
      </c>
      <c r="J91" s="19" t="s">
        <v>6</v>
      </c>
    </row>
    <row r="92" customFormat="false" ht="15" hidden="false" customHeight="false" outlineLevel="0" collapsed="false">
      <c r="A92" s="18" t="n">
        <v>40</v>
      </c>
      <c r="B92" s="19" t="s">
        <v>108</v>
      </c>
      <c r="C92" s="19" t="s">
        <v>121</v>
      </c>
      <c r="D92" s="19" t="s">
        <v>647</v>
      </c>
      <c r="E92" s="20" t="s">
        <v>122</v>
      </c>
      <c r="F92" s="19" t="s">
        <v>658</v>
      </c>
      <c r="G92" s="19" t="s">
        <v>659</v>
      </c>
      <c r="H92" s="21" t="s">
        <v>35</v>
      </c>
      <c r="I92" s="19" t="s">
        <v>6</v>
      </c>
      <c r="J92" s="19" t="s">
        <v>6</v>
      </c>
    </row>
    <row r="93" customFormat="false" ht="15" hidden="false" customHeight="false" outlineLevel="0" collapsed="false">
      <c r="A93" s="18" t="n">
        <v>40</v>
      </c>
      <c r="B93" s="19" t="s">
        <v>108</v>
      </c>
      <c r="C93" s="19" t="s">
        <v>121</v>
      </c>
      <c r="D93" s="19" t="s">
        <v>647</v>
      </c>
      <c r="E93" s="20" t="s">
        <v>122</v>
      </c>
      <c r="F93" s="19" t="s">
        <v>660</v>
      </c>
      <c r="G93" s="19" t="s">
        <v>661</v>
      </c>
      <c r="H93" s="21" t="s">
        <v>35</v>
      </c>
      <c r="I93" s="19" t="s">
        <v>6</v>
      </c>
      <c r="J93" s="19" t="s">
        <v>6</v>
      </c>
    </row>
    <row r="94" customFormat="false" ht="15" hidden="false" customHeight="false" outlineLevel="0" collapsed="false">
      <c r="A94" s="18" t="n">
        <v>40</v>
      </c>
      <c r="B94" s="19" t="s">
        <v>108</v>
      </c>
      <c r="C94" s="19" t="s">
        <v>121</v>
      </c>
      <c r="D94" s="19" t="s">
        <v>647</v>
      </c>
      <c r="E94" s="20" t="s">
        <v>122</v>
      </c>
      <c r="F94" s="19" t="s">
        <v>662</v>
      </c>
      <c r="G94" s="19" t="s">
        <v>663</v>
      </c>
      <c r="H94" s="21" t="s">
        <v>35</v>
      </c>
      <c r="I94" s="19" t="s">
        <v>6</v>
      </c>
      <c r="J94" s="19" t="s">
        <v>6</v>
      </c>
    </row>
    <row r="95" customFormat="false" ht="15" hidden="false" customHeight="false" outlineLevel="0" collapsed="false">
      <c r="A95" s="18" t="n">
        <v>40</v>
      </c>
      <c r="B95" s="19" t="s">
        <v>108</v>
      </c>
      <c r="C95" s="19" t="s">
        <v>121</v>
      </c>
      <c r="D95" s="19" t="s">
        <v>647</v>
      </c>
      <c r="E95" s="20" t="s">
        <v>122</v>
      </c>
      <c r="F95" s="19" t="s">
        <v>664</v>
      </c>
      <c r="G95" s="19" t="s">
        <v>665</v>
      </c>
      <c r="H95" s="21" t="s">
        <v>35</v>
      </c>
      <c r="I95" s="19" t="s">
        <v>6</v>
      </c>
      <c r="J95" s="19" t="s">
        <v>6</v>
      </c>
    </row>
    <row r="96" customFormat="false" ht="15" hidden="false" customHeight="false" outlineLevel="0" collapsed="false">
      <c r="A96" s="18" t="n">
        <v>40</v>
      </c>
      <c r="B96" s="19" t="s">
        <v>108</v>
      </c>
      <c r="C96" s="19" t="s">
        <v>121</v>
      </c>
      <c r="D96" s="19" t="s">
        <v>647</v>
      </c>
      <c r="E96" s="20" t="s">
        <v>122</v>
      </c>
      <c r="F96" s="19" t="s">
        <v>666</v>
      </c>
      <c r="G96" s="19" t="s">
        <v>667</v>
      </c>
      <c r="H96" s="21" t="s">
        <v>35</v>
      </c>
      <c r="I96" s="19" t="s">
        <v>6</v>
      </c>
      <c r="J96" s="19" t="s">
        <v>6</v>
      </c>
    </row>
    <row r="97" customFormat="false" ht="15" hidden="false" customHeight="false" outlineLevel="0" collapsed="false">
      <c r="A97" s="18" t="n">
        <v>44</v>
      </c>
      <c r="B97" s="19" t="s">
        <v>123</v>
      </c>
      <c r="C97" s="19" t="s">
        <v>130</v>
      </c>
      <c r="D97" s="19" t="s">
        <v>668</v>
      </c>
      <c r="E97" s="20" t="s">
        <v>131</v>
      </c>
      <c r="F97" s="19" t="s">
        <v>669</v>
      </c>
      <c r="G97" s="19" t="s">
        <v>670</v>
      </c>
      <c r="H97" s="21" t="s">
        <v>35</v>
      </c>
      <c r="I97" s="19" t="s">
        <v>6</v>
      </c>
      <c r="J97" s="19" t="s">
        <v>6</v>
      </c>
    </row>
    <row r="98" customFormat="false" ht="15" hidden="false" customHeight="false" outlineLevel="0" collapsed="false">
      <c r="A98" s="18" t="n">
        <v>44</v>
      </c>
      <c r="B98" s="19" t="s">
        <v>123</v>
      </c>
      <c r="C98" s="19" t="s">
        <v>130</v>
      </c>
      <c r="D98" s="19" t="s">
        <v>668</v>
      </c>
      <c r="E98" s="20" t="s">
        <v>131</v>
      </c>
      <c r="F98" s="19" t="s">
        <v>671</v>
      </c>
      <c r="G98" s="19" t="s">
        <v>672</v>
      </c>
      <c r="H98" s="21" t="s">
        <v>35</v>
      </c>
      <c r="I98" s="19" t="s">
        <v>6</v>
      </c>
      <c r="J98" s="19" t="s">
        <v>6</v>
      </c>
    </row>
    <row r="99" customFormat="false" ht="15" hidden="false" customHeight="false" outlineLevel="0" collapsed="false">
      <c r="A99" s="18" t="n">
        <v>44</v>
      </c>
      <c r="B99" s="19" t="s">
        <v>123</v>
      </c>
      <c r="C99" s="19" t="s">
        <v>130</v>
      </c>
      <c r="D99" s="19" t="s">
        <v>668</v>
      </c>
      <c r="E99" s="20" t="s">
        <v>131</v>
      </c>
      <c r="F99" s="19" t="s">
        <v>673</v>
      </c>
      <c r="G99" s="19" t="s">
        <v>674</v>
      </c>
      <c r="H99" s="21" t="s">
        <v>35</v>
      </c>
      <c r="I99" s="19" t="s">
        <v>6</v>
      </c>
      <c r="J99" s="19" t="s">
        <v>6</v>
      </c>
    </row>
    <row r="100" customFormat="false" ht="15" hidden="false" customHeight="false" outlineLevel="0" collapsed="false">
      <c r="A100" s="18" t="n">
        <v>44</v>
      </c>
      <c r="B100" s="19" t="s">
        <v>123</v>
      </c>
      <c r="C100" s="19" t="s">
        <v>130</v>
      </c>
      <c r="D100" s="19" t="s">
        <v>668</v>
      </c>
      <c r="E100" s="20" t="s">
        <v>131</v>
      </c>
      <c r="F100" s="19" t="s">
        <v>675</v>
      </c>
      <c r="G100" s="19" t="s">
        <v>676</v>
      </c>
      <c r="H100" s="21" t="s">
        <v>35</v>
      </c>
      <c r="I100" s="19" t="s">
        <v>6</v>
      </c>
      <c r="J100" s="19" t="s">
        <v>6</v>
      </c>
    </row>
    <row r="101" customFormat="false" ht="15" hidden="false" customHeight="false" outlineLevel="0" collapsed="false">
      <c r="A101" s="18" t="n">
        <v>44</v>
      </c>
      <c r="B101" s="19" t="s">
        <v>123</v>
      </c>
      <c r="C101" s="19" t="s">
        <v>130</v>
      </c>
      <c r="D101" s="19" t="s">
        <v>668</v>
      </c>
      <c r="E101" s="20" t="s">
        <v>131</v>
      </c>
      <c r="F101" s="19" t="s">
        <v>677</v>
      </c>
      <c r="G101" s="19" t="s">
        <v>678</v>
      </c>
      <c r="H101" s="21" t="s">
        <v>35</v>
      </c>
      <c r="I101" s="19" t="s">
        <v>6</v>
      </c>
      <c r="J101" s="19" t="s">
        <v>6</v>
      </c>
    </row>
    <row r="102" customFormat="false" ht="15" hidden="false" customHeight="false" outlineLevel="0" collapsed="false">
      <c r="A102" s="18" t="n">
        <v>45</v>
      </c>
      <c r="B102" s="19" t="s">
        <v>123</v>
      </c>
      <c r="C102" s="19" t="s">
        <v>133</v>
      </c>
      <c r="D102" s="19" t="s">
        <v>668</v>
      </c>
      <c r="E102" s="20" t="s">
        <v>134</v>
      </c>
      <c r="F102" s="19" t="s">
        <v>679</v>
      </c>
      <c r="G102" s="19" t="s">
        <v>680</v>
      </c>
      <c r="H102" s="21" t="s">
        <v>35</v>
      </c>
      <c r="I102" s="19" t="s">
        <v>6</v>
      </c>
      <c r="J102" s="19" t="s">
        <v>6</v>
      </c>
    </row>
    <row r="103" customFormat="false" ht="15" hidden="false" customHeight="false" outlineLevel="0" collapsed="false">
      <c r="A103" s="18" t="n">
        <v>45</v>
      </c>
      <c r="B103" s="19" t="s">
        <v>123</v>
      </c>
      <c r="C103" s="19" t="s">
        <v>133</v>
      </c>
      <c r="D103" s="19" t="s">
        <v>668</v>
      </c>
      <c r="E103" s="20" t="s">
        <v>134</v>
      </c>
      <c r="F103" s="19" t="s">
        <v>681</v>
      </c>
      <c r="G103" s="19" t="s">
        <v>682</v>
      </c>
      <c r="H103" s="21" t="s">
        <v>35</v>
      </c>
      <c r="I103" s="19" t="s">
        <v>6</v>
      </c>
      <c r="J103" s="19" t="s">
        <v>6</v>
      </c>
    </row>
    <row r="104" customFormat="false" ht="15" hidden="false" customHeight="false" outlineLevel="0" collapsed="false">
      <c r="A104" s="18" t="n">
        <v>45</v>
      </c>
      <c r="B104" s="19" t="s">
        <v>123</v>
      </c>
      <c r="C104" s="19" t="s">
        <v>133</v>
      </c>
      <c r="D104" s="19" t="s">
        <v>668</v>
      </c>
      <c r="E104" s="20" t="s">
        <v>134</v>
      </c>
      <c r="F104" s="19" t="s">
        <v>683</v>
      </c>
      <c r="G104" s="19" t="s">
        <v>684</v>
      </c>
      <c r="H104" s="21" t="s">
        <v>35</v>
      </c>
      <c r="I104" s="19" t="s">
        <v>6</v>
      </c>
      <c r="J104" s="19" t="s">
        <v>6</v>
      </c>
    </row>
    <row r="105" customFormat="false" ht="15" hidden="false" customHeight="false" outlineLevel="0" collapsed="false">
      <c r="A105" s="18" t="n">
        <v>45</v>
      </c>
      <c r="B105" s="19" t="s">
        <v>123</v>
      </c>
      <c r="C105" s="19" t="s">
        <v>133</v>
      </c>
      <c r="D105" s="19" t="s">
        <v>668</v>
      </c>
      <c r="E105" s="20" t="s">
        <v>134</v>
      </c>
      <c r="F105" s="19" t="s">
        <v>685</v>
      </c>
      <c r="G105" s="19" t="s">
        <v>686</v>
      </c>
      <c r="H105" s="21" t="s">
        <v>35</v>
      </c>
      <c r="I105" s="19" t="s">
        <v>6</v>
      </c>
      <c r="J105" s="19" t="s">
        <v>6</v>
      </c>
    </row>
    <row r="106" customFormat="false" ht="15" hidden="false" customHeight="false" outlineLevel="0" collapsed="false">
      <c r="A106" s="18" t="n">
        <v>59</v>
      </c>
      <c r="B106" s="19" t="s">
        <v>166</v>
      </c>
      <c r="C106" s="19" t="s">
        <v>167</v>
      </c>
      <c r="D106" s="19" t="s">
        <v>687</v>
      </c>
      <c r="E106" s="20" t="s">
        <v>168</v>
      </c>
      <c r="F106" s="19" t="s">
        <v>688</v>
      </c>
      <c r="G106" s="19" t="s">
        <v>689</v>
      </c>
      <c r="H106" s="21" t="s">
        <v>35</v>
      </c>
      <c r="I106" s="19" t="s">
        <v>6</v>
      </c>
      <c r="J106" s="19" t="s">
        <v>6</v>
      </c>
    </row>
    <row r="107" customFormat="false" ht="15" hidden="false" customHeight="false" outlineLevel="0" collapsed="false">
      <c r="A107" s="18" t="n">
        <v>59</v>
      </c>
      <c r="B107" s="19" t="s">
        <v>166</v>
      </c>
      <c r="C107" s="19" t="s">
        <v>167</v>
      </c>
      <c r="D107" s="19" t="s">
        <v>687</v>
      </c>
      <c r="E107" s="20" t="s">
        <v>168</v>
      </c>
      <c r="F107" s="19" t="s">
        <v>690</v>
      </c>
      <c r="G107" s="19" t="s">
        <v>691</v>
      </c>
      <c r="H107" s="21" t="s">
        <v>35</v>
      </c>
      <c r="I107" s="19" t="s">
        <v>6</v>
      </c>
      <c r="J107" s="19" t="s">
        <v>6</v>
      </c>
    </row>
    <row r="108" customFormat="false" ht="15" hidden="false" customHeight="false" outlineLevel="0" collapsed="false">
      <c r="A108" s="18" t="n">
        <v>59</v>
      </c>
      <c r="B108" s="19" t="s">
        <v>166</v>
      </c>
      <c r="C108" s="19" t="s">
        <v>167</v>
      </c>
      <c r="D108" s="19" t="s">
        <v>687</v>
      </c>
      <c r="E108" s="20" t="s">
        <v>168</v>
      </c>
      <c r="F108" s="19" t="s">
        <v>692</v>
      </c>
      <c r="G108" s="19" t="s">
        <v>693</v>
      </c>
      <c r="H108" s="21" t="s">
        <v>35</v>
      </c>
      <c r="I108" s="19" t="s">
        <v>6</v>
      </c>
      <c r="J108" s="19" t="s">
        <v>6</v>
      </c>
    </row>
    <row r="109" customFormat="false" ht="15" hidden="false" customHeight="false" outlineLevel="0" collapsed="false">
      <c r="A109" s="18" t="n">
        <v>59</v>
      </c>
      <c r="B109" s="19" t="s">
        <v>166</v>
      </c>
      <c r="C109" s="19" t="s">
        <v>167</v>
      </c>
      <c r="D109" s="19" t="s">
        <v>687</v>
      </c>
      <c r="E109" s="20" t="s">
        <v>168</v>
      </c>
      <c r="F109" s="19" t="s">
        <v>694</v>
      </c>
      <c r="G109" s="19" t="s">
        <v>695</v>
      </c>
      <c r="H109" s="21" t="s">
        <v>35</v>
      </c>
      <c r="I109" s="19" t="s">
        <v>6</v>
      </c>
      <c r="J109" s="19" t="s">
        <v>6</v>
      </c>
    </row>
    <row r="110" customFormat="false" ht="15" hidden="false" customHeight="false" outlineLevel="0" collapsed="false">
      <c r="A110" s="18" t="n">
        <v>59</v>
      </c>
      <c r="B110" s="19" t="s">
        <v>166</v>
      </c>
      <c r="C110" s="19" t="s">
        <v>167</v>
      </c>
      <c r="D110" s="19" t="s">
        <v>687</v>
      </c>
      <c r="E110" s="20" t="s">
        <v>168</v>
      </c>
      <c r="F110" s="19" t="s">
        <v>696</v>
      </c>
      <c r="G110" s="19" t="s">
        <v>697</v>
      </c>
      <c r="H110" s="21" t="s">
        <v>35</v>
      </c>
      <c r="I110" s="19" t="s">
        <v>6</v>
      </c>
      <c r="J110" s="19" t="s">
        <v>6</v>
      </c>
    </row>
    <row r="111" customFormat="false" ht="15" hidden="false" customHeight="false" outlineLevel="0" collapsed="false">
      <c r="A111" s="18" t="n">
        <v>60</v>
      </c>
      <c r="B111" s="19" t="s">
        <v>166</v>
      </c>
      <c r="C111" s="19" t="s">
        <v>169</v>
      </c>
      <c r="D111" s="19" t="s">
        <v>687</v>
      </c>
      <c r="E111" s="20" t="s">
        <v>170</v>
      </c>
      <c r="F111" s="19" t="s">
        <v>698</v>
      </c>
      <c r="G111" s="19" t="s">
        <v>699</v>
      </c>
      <c r="H111" s="21" t="s">
        <v>35</v>
      </c>
      <c r="I111" s="19" t="s">
        <v>6</v>
      </c>
      <c r="J111" s="19" t="s">
        <v>6</v>
      </c>
    </row>
    <row r="112" customFormat="false" ht="15" hidden="false" customHeight="false" outlineLevel="0" collapsed="false">
      <c r="A112" s="18" t="n">
        <v>60</v>
      </c>
      <c r="B112" s="19" t="s">
        <v>166</v>
      </c>
      <c r="C112" s="19" t="s">
        <v>169</v>
      </c>
      <c r="D112" s="19" t="s">
        <v>687</v>
      </c>
      <c r="E112" s="20" t="s">
        <v>170</v>
      </c>
      <c r="F112" s="19" t="s">
        <v>700</v>
      </c>
      <c r="G112" s="19" t="s">
        <v>701</v>
      </c>
      <c r="H112" s="21" t="s">
        <v>35</v>
      </c>
      <c r="I112" s="19" t="s">
        <v>6</v>
      </c>
      <c r="J112" s="19" t="s">
        <v>6</v>
      </c>
    </row>
    <row r="113" customFormat="false" ht="15" hidden="false" customHeight="false" outlineLevel="0" collapsed="false">
      <c r="A113" s="18" t="n">
        <v>60</v>
      </c>
      <c r="B113" s="19" t="s">
        <v>166</v>
      </c>
      <c r="C113" s="19" t="s">
        <v>169</v>
      </c>
      <c r="D113" s="19" t="s">
        <v>687</v>
      </c>
      <c r="E113" s="20" t="s">
        <v>170</v>
      </c>
      <c r="F113" s="19" t="s">
        <v>702</v>
      </c>
      <c r="G113" s="19" t="s">
        <v>703</v>
      </c>
      <c r="H113" s="21" t="s">
        <v>35</v>
      </c>
      <c r="I113" s="19" t="s">
        <v>6</v>
      </c>
      <c r="J113" s="19" t="s">
        <v>6</v>
      </c>
    </row>
    <row r="114" customFormat="false" ht="15" hidden="false" customHeight="false" outlineLevel="0" collapsed="false">
      <c r="A114" s="18" t="n">
        <v>60</v>
      </c>
      <c r="B114" s="19" t="s">
        <v>166</v>
      </c>
      <c r="C114" s="19" t="s">
        <v>169</v>
      </c>
      <c r="D114" s="19" t="s">
        <v>687</v>
      </c>
      <c r="E114" s="20" t="s">
        <v>170</v>
      </c>
      <c r="F114" s="19" t="s">
        <v>704</v>
      </c>
      <c r="G114" s="19" t="s">
        <v>705</v>
      </c>
      <c r="H114" s="21" t="s">
        <v>35</v>
      </c>
      <c r="I114" s="19" t="s">
        <v>6</v>
      </c>
      <c r="J114" s="19" t="s">
        <v>6</v>
      </c>
    </row>
    <row r="115" customFormat="false" ht="15" hidden="false" customHeight="false" outlineLevel="0" collapsed="false">
      <c r="A115" s="18" t="n">
        <v>60</v>
      </c>
      <c r="B115" s="19" t="s">
        <v>166</v>
      </c>
      <c r="C115" s="19" t="s">
        <v>169</v>
      </c>
      <c r="D115" s="19" t="s">
        <v>687</v>
      </c>
      <c r="E115" s="20" t="s">
        <v>170</v>
      </c>
      <c r="F115" s="19" t="s">
        <v>706</v>
      </c>
      <c r="G115" s="19" t="s">
        <v>707</v>
      </c>
      <c r="H115" s="21" t="s">
        <v>35</v>
      </c>
      <c r="I115" s="19" t="s">
        <v>6</v>
      </c>
      <c r="J115" s="19" t="s">
        <v>6</v>
      </c>
    </row>
    <row r="116" customFormat="false" ht="15" hidden="false" customHeight="false" outlineLevel="0" collapsed="false">
      <c r="A116" s="18" t="n">
        <v>61</v>
      </c>
      <c r="B116" s="19" t="s">
        <v>166</v>
      </c>
      <c r="C116" s="19" t="s">
        <v>171</v>
      </c>
      <c r="D116" s="19" t="s">
        <v>708</v>
      </c>
      <c r="E116" s="20" t="s">
        <v>172</v>
      </c>
      <c r="F116" s="19" t="s">
        <v>709</v>
      </c>
      <c r="G116" s="19" t="s">
        <v>710</v>
      </c>
      <c r="H116" s="21" t="s">
        <v>35</v>
      </c>
      <c r="I116" s="19" t="s">
        <v>6</v>
      </c>
      <c r="J116" s="19" t="s">
        <v>6</v>
      </c>
    </row>
    <row r="117" customFormat="false" ht="15" hidden="false" customHeight="false" outlineLevel="0" collapsed="false">
      <c r="A117" s="18" t="n">
        <v>61</v>
      </c>
      <c r="B117" s="19" t="s">
        <v>166</v>
      </c>
      <c r="C117" s="19" t="s">
        <v>171</v>
      </c>
      <c r="D117" s="19" t="s">
        <v>708</v>
      </c>
      <c r="E117" s="20" t="s">
        <v>172</v>
      </c>
      <c r="F117" s="19" t="s">
        <v>711</v>
      </c>
      <c r="G117" s="19" t="s">
        <v>712</v>
      </c>
      <c r="H117" s="21" t="s">
        <v>35</v>
      </c>
      <c r="I117" s="19" t="s">
        <v>6</v>
      </c>
      <c r="J117" s="19" t="s">
        <v>6</v>
      </c>
    </row>
    <row r="118" customFormat="false" ht="15" hidden="false" customHeight="false" outlineLevel="0" collapsed="false">
      <c r="A118" s="18" t="n">
        <v>61</v>
      </c>
      <c r="B118" s="19" t="s">
        <v>166</v>
      </c>
      <c r="C118" s="19" t="s">
        <v>171</v>
      </c>
      <c r="D118" s="19" t="s">
        <v>708</v>
      </c>
      <c r="E118" s="20" t="s">
        <v>172</v>
      </c>
      <c r="F118" s="19" t="s">
        <v>713</v>
      </c>
      <c r="G118" s="19" t="s">
        <v>714</v>
      </c>
      <c r="H118" s="21" t="s">
        <v>35</v>
      </c>
      <c r="I118" s="19" t="s">
        <v>6</v>
      </c>
      <c r="J118" s="19" t="s">
        <v>6</v>
      </c>
    </row>
    <row r="119" customFormat="false" ht="15" hidden="false" customHeight="false" outlineLevel="0" collapsed="false">
      <c r="A119" s="18" t="n">
        <v>61</v>
      </c>
      <c r="B119" s="19" t="s">
        <v>166</v>
      </c>
      <c r="C119" s="19" t="s">
        <v>171</v>
      </c>
      <c r="D119" s="19" t="s">
        <v>708</v>
      </c>
      <c r="E119" s="20" t="s">
        <v>172</v>
      </c>
      <c r="F119" s="19" t="s">
        <v>715</v>
      </c>
      <c r="G119" s="19" t="s">
        <v>716</v>
      </c>
      <c r="H119" s="21" t="s">
        <v>35</v>
      </c>
      <c r="I119" s="19" t="s">
        <v>6</v>
      </c>
      <c r="J119" s="19" t="s">
        <v>6</v>
      </c>
    </row>
    <row r="120" customFormat="false" ht="15" hidden="false" customHeight="false" outlineLevel="0" collapsed="false">
      <c r="A120" s="18" t="n">
        <v>62</v>
      </c>
      <c r="B120" s="19" t="s">
        <v>166</v>
      </c>
      <c r="C120" s="19" t="s">
        <v>173</v>
      </c>
      <c r="D120" s="19" t="s">
        <v>708</v>
      </c>
      <c r="E120" s="20" t="s">
        <v>174</v>
      </c>
      <c r="F120" s="19" t="s">
        <v>717</v>
      </c>
      <c r="G120" s="19" t="s">
        <v>718</v>
      </c>
      <c r="H120" s="21" t="s">
        <v>35</v>
      </c>
      <c r="I120" s="19" t="s">
        <v>6</v>
      </c>
      <c r="J120" s="19" t="s">
        <v>6</v>
      </c>
    </row>
    <row r="121" customFormat="false" ht="15" hidden="false" customHeight="false" outlineLevel="0" collapsed="false">
      <c r="A121" s="18" t="n">
        <v>62</v>
      </c>
      <c r="B121" s="19" t="s">
        <v>166</v>
      </c>
      <c r="C121" s="19" t="s">
        <v>173</v>
      </c>
      <c r="D121" s="19" t="s">
        <v>708</v>
      </c>
      <c r="E121" s="20" t="s">
        <v>174</v>
      </c>
      <c r="F121" s="19" t="s">
        <v>719</v>
      </c>
      <c r="G121" s="19" t="s">
        <v>720</v>
      </c>
      <c r="H121" s="21" t="s">
        <v>35</v>
      </c>
      <c r="I121" s="19" t="s">
        <v>6</v>
      </c>
      <c r="J121" s="19" t="s">
        <v>6</v>
      </c>
    </row>
    <row r="122" customFormat="false" ht="15" hidden="false" customHeight="false" outlineLevel="0" collapsed="false">
      <c r="A122" s="18" t="n">
        <v>62</v>
      </c>
      <c r="B122" s="19" t="s">
        <v>166</v>
      </c>
      <c r="C122" s="19" t="s">
        <v>173</v>
      </c>
      <c r="D122" s="19" t="s">
        <v>708</v>
      </c>
      <c r="E122" s="20" t="s">
        <v>174</v>
      </c>
      <c r="F122" s="19" t="s">
        <v>721</v>
      </c>
      <c r="G122" s="19" t="s">
        <v>722</v>
      </c>
      <c r="H122" s="21" t="s">
        <v>35</v>
      </c>
      <c r="I122" s="19" t="s">
        <v>6</v>
      </c>
      <c r="J122" s="19" t="s">
        <v>6</v>
      </c>
    </row>
    <row r="123" customFormat="false" ht="15" hidden="false" customHeight="false" outlineLevel="0" collapsed="false">
      <c r="A123" s="18" t="n">
        <v>62</v>
      </c>
      <c r="B123" s="19" t="s">
        <v>166</v>
      </c>
      <c r="C123" s="19" t="s">
        <v>173</v>
      </c>
      <c r="D123" s="19" t="s">
        <v>708</v>
      </c>
      <c r="E123" s="20" t="s">
        <v>174</v>
      </c>
      <c r="F123" s="19" t="s">
        <v>723</v>
      </c>
      <c r="G123" s="19" t="s">
        <v>724</v>
      </c>
      <c r="H123" s="21" t="s">
        <v>35</v>
      </c>
      <c r="I123" s="19" t="s">
        <v>6</v>
      </c>
      <c r="J123" s="19" t="s">
        <v>6</v>
      </c>
    </row>
    <row r="124" customFormat="false" ht="15" hidden="false" customHeight="false" outlineLevel="0" collapsed="false">
      <c r="A124" s="18" t="n">
        <v>62</v>
      </c>
      <c r="B124" s="19" t="s">
        <v>166</v>
      </c>
      <c r="C124" s="19" t="s">
        <v>173</v>
      </c>
      <c r="D124" s="19" t="s">
        <v>708</v>
      </c>
      <c r="E124" s="20" t="s">
        <v>174</v>
      </c>
      <c r="F124" s="19" t="s">
        <v>725</v>
      </c>
      <c r="G124" s="19" t="s">
        <v>726</v>
      </c>
      <c r="H124" s="21" t="s">
        <v>35</v>
      </c>
      <c r="I124" s="19" t="s">
        <v>6</v>
      </c>
      <c r="J124" s="19" t="s">
        <v>6</v>
      </c>
    </row>
    <row r="125" customFormat="false" ht="15" hidden="false" customHeight="false" outlineLevel="0" collapsed="false">
      <c r="A125" s="18" t="n">
        <v>63</v>
      </c>
      <c r="B125" s="19" t="s">
        <v>166</v>
      </c>
      <c r="C125" s="19" t="s">
        <v>175</v>
      </c>
      <c r="D125" s="19" t="s">
        <v>708</v>
      </c>
      <c r="E125" s="20" t="s">
        <v>176</v>
      </c>
      <c r="F125" s="19" t="s">
        <v>727</v>
      </c>
      <c r="G125" s="19" t="s">
        <v>728</v>
      </c>
      <c r="H125" s="22" t="s">
        <v>66</v>
      </c>
      <c r="I125" s="19" t="s">
        <v>6</v>
      </c>
      <c r="J125" s="19" t="s">
        <v>6</v>
      </c>
    </row>
    <row r="126" customFormat="false" ht="15" hidden="false" customHeight="false" outlineLevel="0" collapsed="false">
      <c r="A126" s="18" t="n">
        <v>63</v>
      </c>
      <c r="B126" s="19" t="s">
        <v>166</v>
      </c>
      <c r="C126" s="19" t="s">
        <v>175</v>
      </c>
      <c r="D126" s="19" t="s">
        <v>708</v>
      </c>
      <c r="E126" s="20" t="s">
        <v>176</v>
      </c>
      <c r="F126" s="19" t="s">
        <v>729</v>
      </c>
      <c r="G126" s="19" t="s">
        <v>730</v>
      </c>
      <c r="H126" s="22" t="s">
        <v>66</v>
      </c>
      <c r="I126" s="19" t="s">
        <v>6</v>
      </c>
      <c r="J126" s="19" t="s">
        <v>6</v>
      </c>
    </row>
    <row r="127" customFormat="false" ht="15" hidden="false" customHeight="false" outlineLevel="0" collapsed="false">
      <c r="A127" s="18" t="n">
        <v>63</v>
      </c>
      <c r="B127" s="19" t="s">
        <v>166</v>
      </c>
      <c r="C127" s="19" t="s">
        <v>175</v>
      </c>
      <c r="D127" s="19" t="s">
        <v>708</v>
      </c>
      <c r="E127" s="20" t="s">
        <v>176</v>
      </c>
      <c r="F127" s="19" t="s">
        <v>731</v>
      </c>
      <c r="G127" s="19" t="s">
        <v>732</v>
      </c>
      <c r="H127" s="22" t="s">
        <v>66</v>
      </c>
      <c r="I127" s="19" t="s">
        <v>6</v>
      </c>
      <c r="J127" s="19" t="s">
        <v>6</v>
      </c>
    </row>
    <row r="128" customFormat="false" ht="15" hidden="false" customHeight="false" outlineLevel="0" collapsed="false">
      <c r="A128" s="18" t="n">
        <v>63</v>
      </c>
      <c r="B128" s="19" t="s">
        <v>166</v>
      </c>
      <c r="C128" s="19" t="s">
        <v>175</v>
      </c>
      <c r="D128" s="19" t="s">
        <v>708</v>
      </c>
      <c r="E128" s="20" t="s">
        <v>176</v>
      </c>
      <c r="F128" s="19" t="s">
        <v>733</v>
      </c>
      <c r="G128" s="19" t="s">
        <v>734</v>
      </c>
      <c r="H128" s="22" t="s">
        <v>66</v>
      </c>
      <c r="I128" s="19" t="s">
        <v>6</v>
      </c>
      <c r="J128" s="19" t="s">
        <v>6</v>
      </c>
    </row>
    <row r="129" customFormat="false" ht="15" hidden="false" customHeight="false" outlineLevel="0" collapsed="false">
      <c r="A129" s="18" t="n">
        <v>73</v>
      </c>
      <c r="B129" s="19" t="s">
        <v>199</v>
      </c>
      <c r="C129" s="19" t="s">
        <v>200</v>
      </c>
      <c r="D129" s="19" t="s">
        <v>735</v>
      </c>
      <c r="E129" s="20" t="s">
        <v>201</v>
      </c>
      <c r="F129" s="19" t="s">
        <v>736</v>
      </c>
      <c r="G129" s="19" t="s">
        <v>737</v>
      </c>
      <c r="H129" s="21" t="s">
        <v>35</v>
      </c>
      <c r="I129" s="19" t="s">
        <v>6</v>
      </c>
      <c r="J129" s="19" t="s">
        <v>6</v>
      </c>
    </row>
    <row r="130" customFormat="false" ht="15" hidden="false" customHeight="false" outlineLevel="0" collapsed="false">
      <c r="A130" s="18" t="n">
        <v>73</v>
      </c>
      <c r="B130" s="19" t="s">
        <v>199</v>
      </c>
      <c r="C130" s="19" t="s">
        <v>200</v>
      </c>
      <c r="D130" s="19" t="s">
        <v>735</v>
      </c>
      <c r="E130" s="20" t="s">
        <v>201</v>
      </c>
      <c r="F130" s="19" t="s">
        <v>572</v>
      </c>
      <c r="G130" s="19" t="s">
        <v>738</v>
      </c>
      <c r="H130" s="21" t="s">
        <v>35</v>
      </c>
      <c r="I130" s="19" t="s">
        <v>6</v>
      </c>
      <c r="J130" s="19" t="s">
        <v>6</v>
      </c>
    </row>
    <row r="131" customFormat="false" ht="15" hidden="false" customHeight="false" outlineLevel="0" collapsed="false">
      <c r="A131" s="18" t="n">
        <v>73</v>
      </c>
      <c r="B131" s="19" t="s">
        <v>199</v>
      </c>
      <c r="C131" s="19" t="s">
        <v>200</v>
      </c>
      <c r="D131" s="19" t="s">
        <v>735</v>
      </c>
      <c r="E131" s="20" t="s">
        <v>201</v>
      </c>
      <c r="F131" s="19" t="s">
        <v>739</v>
      </c>
      <c r="G131" s="19" t="s">
        <v>740</v>
      </c>
      <c r="H131" s="21" t="s">
        <v>35</v>
      </c>
      <c r="I131" s="19" t="s">
        <v>6</v>
      </c>
      <c r="J131" s="19" t="s">
        <v>6</v>
      </c>
    </row>
    <row r="132" customFormat="false" ht="15" hidden="false" customHeight="false" outlineLevel="0" collapsed="false">
      <c r="A132" s="18" t="n">
        <v>73</v>
      </c>
      <c r="B132" s="19" t="s">
        <v>199</v>
      </c>
      <c r="C132" s="19" t="s">
        <v>200</v>
      </c>
      <c r="D132" s="19" t="s">
        <v>735</v>
      </c>
      <c r="E132" s="20" t="s">
        <v>201</v>
      </c>
      <c r="F132" s="19" t="s">
        <v>741</v>
      </c>
      <c r="G132" s="19" t="s">
        <v>742</v>
      </c>
      <c r="H132" s="21" t="s">
        <v>35</v>
      </c>
      <c r="I132" s="19" t="s">
        <v>6</v>
      </c>
      <c r="J132" s="19" t="s">
        <v>6</v>
      </c>
    </row>
    <row r="133" customFormat="false" ht="15" hidden="false" customHeight="false" outlineLevel="0" collapsed="false">
      <c r="A133" s="18" t="n">
        <v>73</v>
      </c>
      <c r="B133" s="19" t="s">
        <v>199</v>
      </c>
      <c r="C133" s="19" t="s">
        <v>200</v>
      </c>
      <c r="D133" s="19" t="s">
        <v>735</v>
      </c>
      <c r="E133" s="20" t="s">
        <v>201</v>
      </c>
      <c r="F133" s="19" t="s">
        <v>743</v>
      </c>
      <c r="G133" s="19" t="s">
        <v>744</v>
      </c>
      <c r="H133" s="21" t="s">
        <v>35</v>
      </c>
      <c r="I133" s="19" t="s">
        <v>6</v>
      </c>
      <c r="J133" s="19" t="s">
        <v>6</v>
      </c>
    </row>
    <row r="134" customFormat="false" ht="15" hidden="false" customHeight="false" outlineLevel="0" collapsed="false">
      <c r="A134" s="18" t="n">
        <v>73</v>
      </c>
      <c r="B134" s="19" t="s">
        <v>199</v>
      </c>
      <c r="C134" s="19" t="s">
        <v>200</v>
      </c>
      <c r="D134" s="19" t="s">
        <v>735</v>
      </c>
      <c r="E134" s="20" t="s">
        <v>201</v>
      </c>
      <c r="F134" s="19" t="s">
        <v>745</v>
      </c>
      <c r="G134" s="19" t="s">
        <v>746</v>
      </c>
      <c r="H134" s="21" t="s">
        <v>35</v>
      </c>
      <c r="I134" s="19" t="s">
        <v>6</v>
      </c>
      <c r="J134" s="19" t="s">
        <v>6</v>
      </c>
    </row>
    <row r="135" customFormat="false" ht="15" hidden="false" customHeight="false" outlineLevel="0" collapsed="false">
      <c r="A135" s="18" t="n">
        <v>74</v>
      </c>
      <c r="B135" s="19" t="s">
        <v>199</v>
      </c>
      <c r="C135" s="19" t="s">
        <v>202</v>
      </c>
      <c r="D135" s="19" t="s">
        <v>747</v>
      </c>
      <c r="E135" s="20" t="s">
        <v>203</v>
      </c>
      <c r="F135" s="19" t="s">
        <v>748</v>
      </c>
      <c r="G135" s="19" t="s">
        <v>749</v>
      </c>
      <c r="H135" s="21" t="s">
        <v>35</v>
      </c>
      <c r="I135" s="19" t="s">
        <v>6</v>
      </c>
      <c r="J135" s="19" t="s">
        <v>6</v>
      </c>
    </row>
    <row r="136" customFormat="false" ht="15" hidden="false" customHeight="false" outlineLevel="0" collapsed="false">
      <c r="A136" s="18" t="n">
        <v>74</v>
      </c>
      <c r="B136" s="19" t="s">
        <v>199</v>
      </c>
      <c r="C136" s="19" t="s">
        <v>202</v>
      </c>
      <c r="D136" s="19" t="s">
        <v>747</v>
      </c>
      <c r="E136" s="20" t="s">
        <v>203</v>
      </c>
      <c r="F136" s="19" t="s">
        <v>750</v>
      </c>
      <c r="G136" s="19" t="s">
        <v>751</v>
      </c>
      <c r="H136" s="21" t="s">
        <v>35</v>
      </c>
      <c r="I136" s="19" t="s">
        <v>6</v>
      </c>
      <c r="J136" s="19" t="s">
        <v>6</v>
      </c>
    </row>
    <row r="137" customFormat="false" ht="15" hidden="false" customHeight="false" outlineLevel="0" collapsed="false">
      <c r="A137" s="18" t="n">
        <v>74</v>
      </c>
      <c r="B137" s="19" t="s">
        <v>199</v>
      </c>
      <c r="C137" s="19" t="s">
        <v>202</v>
      </c>
      <c r="D137" s="19" t="s">
        <v>747</v>
      </c>
      <c r="E137" s="20" t="s">
        <v>203</v>
      </c>
      <c r="F137" s="19" t="s">
        <v>752</v>
      </c>
      <c r="G137" s="19" t="s">
        <v>753</v>
      </c>
      <c r="H137" s="21" t="s">
        <v>35</v>
      </c>
      <c r="I137" s="19" t="s">
        <v>6</v>
      </c>
      <c r="J137" s="19" t="s">
        <v>6</v>
      </c>
    </row>
    <row r="138" customFormat="false" ht="15" hidden="false" customHeight="false" outlineLevel="0" collapsed="false">
      <c r="A138" s="18" t="n">
        <v>74</v>
      </c>
      <c r="B138" s="19" t="s">
        <v>199</v>
      </c>
      <c r="C138" s="19" t="s">
        <v>202</v>
      </c>
      <c r="D138" s="19" t="s">
        <v>747</v>
      </c>
      <c r="E138" s="20" t="s">
        <v>203</v>
      </c>
      <c r="F138" s="19" t="s">
        <v>754</v>
      </c>
      <c r="G138" s="19" t="s">
        <v>755</v>
      </c>
      <c r="H138" s="21" t="s">
        <v>35</v>
      </c>
      <c r="I138" s="19" t="s">
        <v>6</v>
      </c>
      <c r="J138" s="19" t="s">
        <v>6</v>
      </c>
    </row>
    <row r="139" customFormat="false" ht="15" hidden="false" customHeight="false" outlineLevel="0" collapsed="false">
      <c r="A139" s="18" t="n">
        <v>74</v>
      </c>
      <c r="B139" s="19" t="s">
        <v>199</v>
      </c>
      <c r="C139" s="19" t="s">
        <v>202</v>
      </c>
      <c r="D139" s="19" t="s">
        <v>747</v>
      </c>
      <c r="E139" s="20" t="s">
        <v>203</v>
      </c>
      <c r="F139" s="19" t="s">
        <v>756</v>
      </c>
      <c r="G139" s="19" t="s">
        <v>757</v>
      </c>
      <c r="H139" s="21" t="s">
        <v>35</v>
      </c>
      <c r="I139" s="19" t="s">
        <v>6</v>
      </c>
      <c r="J139" s="19" t="s">
        <v>6</v>
      </c>
    </row>
    <row r="140" customFormat="false" ht="15" hidden="false" customHeight="false" outlineLevel="0" collapsed="false">
      <c r="A140" s="18" t="n">
        <v>74</v>
      </c>
      <c r="B140" s="19" t="s">
        <v>199</v>
      </c>
      <c r="C140" s="19" t="s">
        <v>202</v>
      </c>
      <c r="D140" s="19" t="s">
        <v>747</v>
      </c>
      <c r="E140" s="20" t="s">
        <v>203</v>
      </c>
      <c r="F140" s="19" t="s">
        <v>758</v>
      </c>
      <c r="G140" s="19" t="s">
        <v>759</v>
      </c>
      <c r="H140" s="21" t="s">
        <v>35</v>
      </c>
      <c r="I140" s="19" t="s">
        <v>6</v>
      </c>
      <c r="J140" s="19" t="s">
        <v>6</v>
      </c>
    </row>
    <row r="141" customFormat="false" ht="15" hidden="false" customHeight="false" outlineLevel="0" collapsed="false">
      <c r="A141" s="18" t="n">
        <v>74</v>
      </c>
      <c r="B141" s="19" t="s">
        <v>199</v>
      </c>
      <c r="C141" s="19" t="s">
        <v>202</v>
      </c>
      <c r="D141" s="19" t="s">
        <v>747</v>
      </c>
      <c r="E141" s="20" t="s">
        <v>203</v>
      </c>
      <c r="F141" s="19" t="s">
        <v>760</v>
      </c>
      <c r="G141" s="19" t="s">
        <v>761</v>
      </c>
      <c r="H141" s="21" t="s">
        <v>35</v>
      </c>
      <c r="I141" s="19" t="s">
        <v>6</v>
      </c>
      <c r="J141" s="19" t="s">
        <v>6</v>
      </c>
    </row>
    <row r="142" customFormat="false" ht="15" hidden="false" customHeight="false" outlineLevel="0" collapsed="false">
      <c r="A142" s="18" t="n">
        <v>74</v>
      </c>
      <c r="B142" s="19" t="s">
        <v>199</v>
      </c>
      <c r="C142" s="19" t="s">
        <v>202</v>
      </c>
      <c r="D142" s="19" t="s">
        <v>747</v>
      </c>
      <c r="E142" s="20" t="s">
        <v>203</v>
      </c>
      <c r="F142" s="19" t="s">
        <v>762</v>
      </c>
      <c r="G142" s="19" t="s">
        <v>763</v>
      </c>
      <c r="H142" s="21" t="s">
        <v>35</v>
      </c>
      <c r="I142" s="19" t="s">
        <v>6</v>
      </c>
      <c r="J142" s="19" t="s">
        <v>6</v>
      </c>
    </row>
    <row r="143" customFormat="false" ht="15" hidden="false" customHeight="false" outlineLevel="0" collapsed="false">
      <c r="A143" s="18" t="n">
        <v>76</v>
      </c>
      <c r="B143" s="19" t="s">
        <v>199</v>
      </c>
      <c r="C143" s="19" t="s">
        <v>207</v>
      </c>
      <c r="D143" s="19" t="s">
        <v>764</v>
      </c>
      <c r="E143" s="20" t="s">
        <v>208</v>
      </c>
      <c r="F143" s="19" t="s">
        <v>765</v>
      </c>
      <c r="G143" s="19" t="s">
        <v>766</v>
      </c>
      <c r="H143" s="22" t="s">
        <v>66</v>
      </c>
      <c r="I143" s="19" t="s">
        <v>6</v>
      </c>
      <c r="J143" s="19" t="s">
        <v>6</v>
      </c>
    </row>
    <row r="144" customFormat="false" ht="15" hidden="false" customHeight="false" outlineLevel="0" collapsed="false">
      <c r="A144" s="18" t="n">
        <v>76</v>
      </c>
      <c r="B144" s="19" t="s">
        <v>199</v>
      </c>
      <c r="C144" s="19" t="s">
        <v>207</v>
      </c>
      <c r="D144" s="19" t="s">
        <v>764</v>
      </c>
      <c r="E144" s="20" t="s">
        <v>208</v>
      </c>
      <c r="F144" s="19" t="s">
        <v>767</v>
      </c>
      <c r="G144" s="19" t="s">
        <v>768</v>
      </c>
      <c r="H144" s="22" t="s">
        <v>66</v>
      </c>
      <c r="I144" s="19" t="s">
        <v>6</v>
      </c>
      <c r="J144" s="19" t="s">
        <v>6</v>
      </c>
    </row>
    <row r="145" customFormat="false" ht="15" hidden="false" customHeight="false" outlineLevel="0" collapsed="false">
      <c r="A145" s="18" t="n">
        <v>76</v>
      </c>
      <c r="B145" s="19" t="s">
        <v>199</v>
      </c>
      <c r="C145" s="19" t="s">
        <v>207</v>
      </c>
      <c r="D145" s="19" t="s">
        <v>764</v>
      </c>
      <c r="E145" s="20" t="s">
        <v>208</v>
      </c>
      <c r="F145" s="19" t="s">
        <v>769</v>
      </c>
      <c r="G145" s="19" t="s">
        <v>770</v>
      </c>
      <c r="H145" s="22" t="s">
        <v>66</v>
      </c>
      <c r="I145" s="19" t="s">
        <v>6</v>
      </c>
      <c r="J145" s="19" t="s">
        <v>6</v>
      </c>
    </row>
    <row r="146" customFormat="false" ht="15" hidden="false" customHeight="false" outlineLevel="0" collapsed="false">
      <c r="A146" s="18" t="n">
        <v>76</v>
      </c>
      <c r="B146" s="19" t="s">
        <v>199</v>
      </c>
      <c r="C146" s="19" t="s">
        <v>207</v>
      </c>
      <c r="D146" s="19" t="s">
        <v>764</v>
      </c>
      <c r="E146" s="20" t="s">
        <v>208</v>
      </c>
      <c r="F146" s="19" t="s">
        <v>771</v>
      </c>
      <c r="G146" s="19" t="s">
        <v>772</v>
      </c>
      <c r="H146" s="22" t="s">
        <v>66</v>
      </c>
      <c r="I146" s="19" t="s">
        <v>6</v>
      </c>
      <c r="J146" s="19" t="s">
        <v>6</v>
      </c>
    </row>
    <row r="147" customFormat="false" ht="15" hidden="false" customHeight="false" outlineLevel="0" collapsed="false">
      <c r="A147" s="18" t="n">
        <v>77</v>
      </c>
      <c r="B147" s="19" t="s">
        <v>199</v>
      </c>
      <c r="C147" s="19" t="s">
        <v>209</v>
      </c>
      <c r="D147" s="19" t="s">
        <v>773</v>
      </c>
      <c r="E147" s="20" t="s">
        <v>210</v>
      </c>
      <c r="F147" s="19" t="s">
        <v>774</v>
      </c>
      <c r="G147" s="19" t="s">
        <v>775</v>
      </c>
      <c r="H147" s="23" t="s">
        <v>211</v>
      </c>
      <c r="I147" s="19" t="s">
        <v>6</v>
      </c>
      <c r="J147" s="19" t="s">
        <v>6</v>
      </c>
    </row>
    <row r="148" customFormat="false" ht="15" hidden="false" customHeight="false" outlineLevel="0" collapsed="false">
      <c r="A148" s="18" t="n">
        <v>77</v>
      </c>
      <c r="B148" s="19" t="s">
        <v>199</v>
      </c>
      <c r="C148" s="19" t="s">
        <v>209</v>
      </c>
      <c r="D148" s="19" t="s">
        <v>773</v>
      </c>
      <c r="E148" s="20" t="s">
        <v>210</v>
      </c>
      <c r="F148" s="19" t="s">
        <v>776</v>
      </c>
      <c r="G148" s="19" t="s">
        <v>777</v>
      </c>
      <c r="H148" s="23" t="s">
        <v>211</v>
      </c>
      <c r="I148" s="19" t="s">
        <v>6</v>
      </c>
      <c r="J148" s="19" t="s">
        <v>6</v>
      </c>
    </row>
    <row r="149" customFormat="false" ht="15" hidden="false" customHeight="false" outlineLevel="0" collapsed="false">
      <c r="A149" s="18" t="n">
        <v>77</v>
      </c>
      <c r="B149" s="19" t="s">
        <v>199</v>
      </c>
      <c r="C149" s="19" t="s">
        <v>209</v>
      </c>
      <c r="D149" s="19" t="s">
        <v>773</v>
      </c>
      <c r="E149" s="20" t="s">
        <v>210</v>
      </c>
      <c r="F149" s="19" t="s">
        <v>778</v>
      </c>
      <c r="G149" s="19" t="s">
        <v>779</v>
      </c>
      <c r="H149" s="23" t="s">
        <v>211</v>
      </c>
      <c r="I149" s="19" t="s">
        <v>6</v>
      </c>
      <c r="J149" s="19" t="s">
        <v>6</v>
      </c>
    </row>
    <row r="150" customFormat="false" ht="15" hidden="false" customHeight="false" outlineLevel="0" collapsed="false">
      <c r="A150" s="18" t="n">
        <v>77</v>
      </c>
      <c r="B150" s="19" t="s">
        <v>199</v>
      </c>
      <c r="C150" s="19" t="s">
        <v>209</v>
      </c>
      <c r="D150" s="19" t="s">
        <v>773</v>
      </c>
      <c r="E150" s="20" t="s">
        <v>210</v>
      </c>
      <c r="F150" s="19" t="s">
        <v>780</v>
      </c>
      <c r="G150" s="19" t="s">
        <v>781</v>
      </c>
      <c r="H150" s="23" t="s">
        <v>211</v>
      </c>
      <c r="I150" s="19" t="s">
        <v>6</v>
      </c>
      <c r="J150" s="19" t="s">
        <v>6</v>
      </c>
    </row>
  </sheetData>
  <autoFilter ref="A1:J150"/>
  <dataValidations count="3">
    <dataValidation allowBlank="false" errorStyle="stop" operator="between" showDropDown="false" showErrorMessage="false" showInputMessage="false" sqref="I2:I150" type="list">
      <formula1>"Not Started,In Progress,Done"</formula1>
      <formula2>0</formula2>
    </dataValidation>
    <dataValidation allowBlank="false" errorStyle="stop" operator="between" showDropDown="false" showErrorMessage="false" showInputMessage="false" sqref="J2:J150" type="list">
      <formula1>"Not Started,Script Ready,Reel Made,Watched"</formula1>
      <formula2>0</formula2>
    </dataValidation>
    <dataValidation allowBlank="false" errorStyle="stop" operator="between" showDropDown="false" showErrorMessage="false" showInputMessage="false" sqref="H2:H150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48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7"/>
  </cols>
  <sheetData>
    <row r="1" customFormat="false" ht="30" hidden="false" customHeight="true" outlineLevel="0" collapsed="false">
      <c r="A1" s="3" t="s">
        <v>23</v>
      </c>
      <c r="B1" s="3" t="s">
        <v>24</v>
      </c>
      <c r="C1" s="3" t="s">
        <v>25</v>
      </c>
      <c r="D1" s="3" t="s">
        <v>218</v>
      </c>
      <c r="E1" s="3" t="s">
        <v>26</v>
      </c>
      <c r="F1" s="3" t="s">
        <v>219</v>
      </c>
      <c r="G1" s="3" t="s">
        <v>220</v>
      </c>
      <c r="H1" s="3" t="s">
        <v>27</v>
      </c>
      <c r="I1" s="3" t="s">
        <v>221</v>
      </c>
      <c r="J1" s="3" t="s">
        <v>222</v>
      </c>
    </row>
    <row r="2" customFormat="false" ht="15" hidden="false" customHeight="false" outlineLevel="0" collapsed="false">
      <c r="A2" s="18" t="n">
        <v>41</v>
      </c>
      <c r="B2" s="19" t="s">
        <v>123</v>
      </c>
      <c r="C2" s="19" t="s">
        <v>124</v>
      </c>
      <c r="D2" s="19" t="s">
        <v>782</v>
      </c>
      <c r="E2" s="20" t="s">
        <v>125</v>
      </c>
      <c r="F2" s="19" t="s">
        <v>783</v>
      </c>
      <c r="G2" s="19" t="s">
        <v>784</v>
      </c>
      <c r="H2" s="21" t="s">
        <v>35</v>
      </c>
      <c r="I2" s="19" t="s">
        <v>6</v>
      </c>
      <c r="J2" s="19" t="s">
        <v>6</v>
      </c>
    </row>
    <row r="3" customFormat="false" ht="15" hidden="false" customHeight="false" outlineLevel="0" collapsed="false">
      <c r="A3" s="18" t="n">
        <v>41</v>
      </c>
      <c r="B3" s="19" t="s">
        <v>123</v>
      </c>
      <c r="C3" s="19" t="s">
        <v>124</v>
      </c>
      <c r="D3" s="19" t="s">
        <v>782</v>
      </c>
      <c r="E3" s="20" t="s">
        <v>125</v>
      </c>
      <c r="F3" s="19" t="s">
        <v>785</v>
      </c>
      <c r="G3" s="19" t="s">
        <v>786</v>
      </c>
      <c r="H3" s="21" t="s">
        <v>35</v>
      </c>
      <c r="I3" s="19" t="s">
        <v>6</v>
      </c>
      <c r="J3" s="19" t="s">
        <v>6</v>
      </c>
    </row>
    <row r="4" customFormat="false" ht="15" hidden="false" customHeight="false" outlineLevel="0" collapsed="false">
      <c r="A4" s="18" t="n">
        <v>41</v>
      </c>
      <c r="B4" s="19" t="s">
        <v>123</v>
      </c>
      <c r="C4" s="19" t="s">
        <v>124</v>
      </c>
      <c r="D4" s="19" t="s">
        <v>782</v>
      </c>
      <c r="E4" s="20" t="s">
        <v>125</v>
      </c>
      <c r="F4" s="19" t="s">
        <v>787</v>
      </c>
      <c r="G4" s="19" t="s">
        <v>788</v>
      </c>
      <c r="H4" s="21" t="s">
        <v>35</v>
      </c>
      <c r="I4" s="19" t="s">
        <v>6</v>
      </c>
      <c r="J4" s="19" t="s">
        <v>6</v>
      </c>
    </row>
    <row r="5" customFormat="false" ht="15" hidden="false" customHeight="false" outlineLevel="0" collapsed="false">
      <c r="A5" s="18" t="n">
        <v>41</v>
      </c>
      <c r="B5" s="19" t="s">
        <v>123</v>
      </c>
      <c r="C5" s="19" t="s">
        <v>124</v>
      </c>
      <c r="D5" s="19" t="s">
        <v>782</v>
      </c>
      <c r="E5" s="20" t="s">
        <v>125</v>
      </c>
      <c r="F5" s="19" t="s">
        <v>789</v>
      </c>
      <c r="G5" s="19" t="s">
        <v>790</v>
      </c>
      <c r="H5" s="21" t="s">
        <v>35</v>
      </c>
      <c r="I5" s="19" t="s">
        <v>6</v>
      </c>
      <c r="J5" s="19" t="s">
        <v>6</v>
      </c>
    </row>
    <row r="6" customFormat="false" ht="15" hidden="false" customHeight="false" outlineLevel="0" collapsed="false">
      <c r="A6" s="18" t="n">
        <v>41</v>
      </c>
      <c r="B6" s="19" t="s">
        <v>123</v>
      </c>
      <c r="C6" s="19" t="s">
        <v>124</v>
      </c>
      <c r="D6" s="19" t="s">
        <v>782</v>
      </c>
      <c r="E6" s="20" t="s">
        <v>125</v>
      </c>
      <c r="F6" s="19" t="s">
        <v>791</v>
      </c>
      <c r="G6" s="19" t="s">
        <v>792</v>
      </c>
      <c r="H6" s="21" t="s">
        <v>35</v>
      </c>
      <c r="I6" s="19" t="s">
        <v>6</v>
      </c>
      <c r="J6" s="19" t="s">
        <v>6</v>
      </c>
    </row>
    <row r="7" customFormat="false" ht="15" hidden="false" customHeight="false" outlineLevel="0" collapsed="false">
      <c r="A7" s="18" t="n">
        <v>42</v>
      </c>
      <c r="B7" s="19" t="s">
        <v>123</v>
      </c>
      <c r="C7" s="19" t="s">
        <v>126</v>
      </c>
      <c r="D7" s="19" t="s">
        <v>793</v>
      </c>
      <c r="E7" s="20" t="s">
        <v>127</v>
      </c>
      <c r="F7" s="19" t="s">
        <v>794</v>
      </c>
      <c r="G7" s="19" t="s">
        <v>795</v>
      </c>
      <c r="H7" s="21" t="s">
        <v>35</v>
      </c>
      <c r="I7" s="19" t="s">
        <v>6</v>
      </c>
      <c r="J7" s="19" t="s">
        <v>6</v>
      </c>
    </row>
    <row r="8" customFormat="false" ht="15" hidden="false" customHeight="false" outlineLevel="0" collapsed="false">
      <c r="A8" s="18" t="n">
        <v>42</v>
      </c>
      <c r="B8" s="19" t="s">
        <v>123</v>
      </c>
      <c r="C8" s="19" t="s">
        <v>126</v>
      </c>
      <c r="D8" s="19" t="s">
        <v>793</v>
      </c>
      <c r="E8" s="20" t="s">
        <v>127</v>
      </c>
      <c r="F8" s="19" t="s">
        <v>796</v>
      </c>
      <c r="G8" s="19" t="s">
        <v>797</v>
      </c>
      <c r="H8" s="21" t="s">
        <v>35</v>
      </c>
      <c r="I8" s="19" t="s">
        <v>6</v>
      </c>
      <c r="J8" s="19" t="s">
        <v>6</v>
      </c>
    </row>
    <row r="9" customFormat="false" ht="15" hidden="false" customHeight="false" outlineLevel="0" collapsed="false">
      <c r="A9" s="18" t="n">
        <v>42</v>
      </c>
      <c r="B9" s="19" t="s">
        <v>123</v>
      </c>
      <c r="C9" s="19" t="s">
        <v>126</v>
      </c>
      <c r="D9" s="19" t="s">
        <v>793</v>
      </c>
      <c r="E9" s="20" t="s">
        <v>127</v>
      </c>
      <c r="F9" s="19" t="s">
        <v>798</v>
      </c>
      <c r="G9" s="19" t="s">
        <v>799</v>
      </c>
      <c r="H9" s="21" t="s">
        <v>35</v>
      </c>
      <c r="I9" s="19" t="s">
        <v>6</v>
      </c>
      <c r="J9" s="19" t="s">
        <v>6</v>
      </c>
    </row>
    <row r="10" customFormat="false" ht="15" hidden="false" customHeight="false" outlineLevel="0" collapsed="false">
      <c r="A10" s="18" t="n">
        <v>42</v>
      </c>
      <c r="B10" s="19" t="s">
        <v>123</v>
      </c>
      <c r="C10" s="19" t="s">
        <v>126</v>
      </c>
      <c r="D10" s="19" t="s">
        <v>793</v>
      </c>
      <c r="E10" s="20" t="s">
        <v>127</v>
      </c>
      <c r="F10" s="19" t="s">
        <v>800</v>
      </c>
      <c r="G10" s="19" t="s">
        <v>801</v>
      </c>
      <c r="H10" s="21" t="s">
        <v>35</v>
      </c>
      <c r="I10" s="19" t="s">
        <v>6</v>
      </c>
      <c r="J10" s="19" t="s">
        <v>6</v>
      </c>
    </row>
    <row r="11" customFormat="false" ht="15" hidden="false" customHeight="false" outlineLevel="0" collapsed="false">
      <c r="A11" s="18" t="n">
        <v>42</v>
      </c>
      <c r="B11" s="19" t="s">
        <v>123</v>
      </c>
      <c r="C11" s="19" t="s">
        <v>126</v>
      </c>
      <c r="D11" s="19" t="s">
        <v>793</v>
      </c>
      <c r="E11" s="20" t="s">
        <v>127</v>
      </c>
      <c r="F11" s="19" t="s">
        <v>802</v>
      </c>
      <c r="G11" s="19" t="s">
        <v>803</v>
      </c>
      <c r="H11" s="21" t="s">
        <v>35</v>
      </c>
      <c r="I11" s="19" t="s">
        <v>6</v>
      </c>
      <c r="J11" s="19" t="s">
        <v>6</v>
      </c>
    </row>
    <row r="12" customFormat="false" ht="15" hidden="false" customHeight="false" outlineLevel="0" collapsed="false">
      <c r="A12" s="18" t="n">
        <v>42</v>
      </c>
      <c r="B12" s="19" t="s">
        <v>123</v>
      </c>
      <c r="C12" s="19" t="s">
        <v>126</v>
      </c>
      <c r="D12" s="19" t="s">
        <v>793</v>
      </c>
      <c r="E12" s="20" t="s">
        <v>127</v>
      </c>
      <c r="F12" s="19" t="s">
        <v>804</v>
      </c>
      <c r="G12" s="19" t="s">
        <v>805</v>
      </c>
      <c r="H12" s="21" t="s">
        <v>35</v>
      </c>
      <c r="I12" s="19" t="s">
        <v>6</v>
      </c>
      <c r="J12" s="19" t="s">
        <v>6</v>
      </c>
    </row>
    <row r="13" customFormat="false" ht="15" hidden="false" customHeight="false" outlineLevel="0" collapsed="false">
      <c r="A13" s="18" t="n">
        <v>43</v>
      </c>
      <c r="B13" s="19" t="s">
        <v>123</v>
      </c>
      <c r="C13" s="19" t="s">
        <v>128</v>
      </c>
      <c r="D13" s="19" t="s">
        <v>793</v>
      </c>
      <c r="E13" s="20" t="s">
        <v>129</v>
      </c>
      <c r="F13" s="19" t="s">
        <v>806</v>
      </c>
      <c r="G13" s="19" t="s">
        <v>807</v>
      </c>
      <c r="H13" s="22" t="s">
        <v>66</v>
      </c>
      <c r="I13" s="19" t="s">
        <v>6</v>
      </c>
      <c r="J13" s="19" t="s">
        <v>6</v>
      </c>
    </row>
    <row r="14" customFormat="false" ht="15" hidden="false" customHeight="false" outlineLevel="0" collapsed="false">
      <c r="A14" s="18" t="n">
        <v>43</v>
      </c>
      <c r="B14" s="19" t="s">
        <v>123</v>
      </c>
      <c r="C14" s="19" t="s">
        <v>128</v>
      </c>
      <c r="D14" s="19" t="s">
        <v>793</v>
      </c>
      <c r="E14" s="20" t="s">
        <v>129</v>
      </c>
      <c r="F14" s="19" t="s">
        <v>808</v>
      </c>
      <c r="G14" s="19" t="s">
        <v>809</v>
      </c>
      <c r="H14" s="22" t="s">
        <v>66</v>
      </c>
      <c r="I14" s="19" t="s">
        <v>6</v>
      </c>
      <c r="J14" s="19" t="s">
        <v>6</v>
      </c>
    </row>
    <row r="15" customFormat="false" ht="15" hidden="false" customHeight="false" outlineLevel="0" collapsed="false">
      <c r="A15" s="18" t="n">
        <v>43</v>
      </c>
      <c r="B15" s="19" t="s">
        <v>123</v>
      </c>
      <c r="C15" s="19" t="s">
        <v>128</v>
      </c>
      <c r="D15" s="19" t="s">
        <v>793</v>
      </c>
      <c r="E15" s="20" t="s">
        <v>129</v>
      </c>
      <c r="F15" s="19" t="s">
        <v>810</v>
      </c>
      <c r="G15" s="19" t="s">
        <v>811</v>
      </c>
      <c r="H15" s="22" t="s">
        <v>66</v>
      </c>
      <c r="I15" s="19" t="s">
        <v>6</v>
      </c>
      <c r="J15" s="19" t="s">
        <v>6</v>
      </c>
    </row>
    <row r="16" customFormat="false" ht="15" hidden="false" customHeight="false" outlineLevel="0" collapsed="false">
      <c r="A16" s="18" t="n">
        <v>43</v>
      </c>
      <c r="B16" s="19" t="s">
        <v>123</v>
      </c>
      <c r="C16" s="19" t="s">
        <v>128</v>
      </c>
      <c r="D16" s="19" t="s">
        <v>793</v>
      </c>
      <c r="E16" s="20" t="s">
        <v>129</v>
      </c>
      <c r="F16" s="19" t="s">
        <v>812</v>
      </c>
      <c r="G16" s="19" t="s">
        <v>813</v>
      </c>
      <c r="H16" s="22" t="s">
        <v>66</v>
      </c>
      <c r="I16" s="19" t="s">
        <v>6</v>
      </c>
      <c r="J16" s="19" t="s">
        <v>6</v>
      </c>
    </row>
    <row r="17" customFormat="false" ht="15" hidden="false" customHeight="false" outlineLevel="0" collapsed="false">
      <c r="A17" s="18" t="n">
        <v>46</v>
      </c>
      <c r="B17" s="19" t="s">
        <v>123</v>
      </c>
      <c r="C17" s="19" t="s">
        <v>136</v>
      </c>
      <c r="D17" s="19" t="s">
        <v>814</v>
      </c>
      <c r="E17" s="20" t="s">
        <v>137</v>
      </c>
      <c r="F17" s="19" t="s">
        <v>558</v>
      </c>
      <c r="G17" s="19" t="s">
        <v>815</v>
      </c>
      <c r="H17" s="21" t="s">
        <v>35</v>
      </c>
      <c r="I17" s="19" t="s">
        <v>6</v>
      </c>
      <c r="J17" s="19" t="s">
        <v>6</v>
      </c>
    </row>
    <row r="18" customFormat="false" ht="15" hidden="false" customHeight="false" outlineLevel="0" collapsed="false">
      <c r="A18" s="18" t="n">
        <v>46</v>
      </c>
      <c r="B18" s="19" t="s">
        <v>123</v>
      </c>
      <c r="C18" s="19" t="s">
        <v>136</v>
      </c>
      <c r="D18" s="19" t="s">
        <v>814</v>
      </c>
      <c r="E18" s="20" t="s">
        <v>137</v>
      </c>
      <c r="F18" s="19" t="s">
        <v>816</v>
      </c>
      <c r="G18" s="19" t="s">
        <v>817</v>
      </c>
      <c r="H18" s="21" t="s">
        <v>35</v>
      </c>
      <c r="I18" s="19" t="s">
        <v>6</v>
      </c>
      <c r="J18" s="19" t="s">
        <v>6</v>
      </c>
    </row>
    <row r="19" customFormat="false" ht="15" hidden="false" customHeight="false" outlineLevel="0" collapsed="false">
      <c r="A19" s="18" t="n">
        <v>46</v>
      </c>
      <c r="B19" s="19" t="s">
        <v>123</v>
      </c>
      <c r="C19" s="19" t="s">
        <v>136</v>
      </c>
      <c r="D19" s="19" t="s">
        <v>814</v>
      </c>
      <c r="E19" s="20" t="s">
        <v>137</v>
      </c>
      <c r="F19" s="19" t="s">
        <v>818</v>
      </c>
      <c r="G19" s="19" t="s">
        <v>819</v>
      </c>
      <c r="H19" s="21" t="s">
        <v>35</v>
      </c>
      <c r="I19" s="19" t="s">
        <v>6</v>
      </c>
      <c r="J19" s="19" t="s">
        <v>6</v>
      </c>
    </row>
    <row r="20" customFormat="false" ht="15" hidden="false" customHeight="false" outlineLevel="0" collapsed="false">
      <c r="A20" s="18" t="n">
        <v>46</v>
      </c>
      <c r="B20" s="19" t="s">
        <v>123</v>
      </c>
      <c r="C20" s="19" t="s">
        <v>136</v>
      </c>
      <c r="D20" s="19" t="s">
        <v>814</v>
      </c>
      <c r="E20" s="20" t="s">
        <v>137</v>
      </c>
      <c r="F20" s="19" t="s">
        <v>820</v>
      </c>
      <c r="G20" s="19" t="s">
        <v>821</v>
      </c>
      <c r="H20" s="21" t="s">
        <v>35</v>
      </c>
      <c r="I20" s="19" t="s">
        <v>6</v>
      </c>
      <c r="J20" s="19" t="s">
        <v>6</v>
      </c>
    </row>
    <row r="21" customFormat="false" ht="15" hidden="false" customHeight="false" outlineLevel="0" collapsed="false">
      <c r="A21" s="18" t="n">
        <v>46</v>
      </c>
      <c r="B21" s="19" t="s">
        <v>123</v>
      </c>
      <c r="C21" s="19" t="s">
        <v>136</v>
      </c>
      <c r="D21" s="19" t="s">
        <v>814</v>
      </c>
      <c r="E21" s="20" t="s">
        <v>137</v>
      </c>
      <c r="F21" s="19" t="s">
        <v>822</v>
      </c>
      <c r="G21" s="19" t="s">
        <v>823</v>
      </c>
      <c r="H21" s="21" t="s">
        <v>35</v>
      </c>
      <c r="I21" s="19" t="s">
        <v>6</v>
      </c>
      <c r="J21" s="19" t="s">
        <v>6</v>
      </c>
    </row>
    <row r="22" customFormat="false" ht="15" hidden="false" customHeight="false" outlineLevel="0" collapsed="false">
      <c r="A22" s="18" t="n">
        <v>47</v>
      </c>
      <c r="B22" s="19" t="s">
        <v>123</v>
      </c>
      <c r="C22" s="19" t="s">
        <v>138</v>
      </c>
      <c r="D22" s="19" t="s">
        <v>814</v>
      </c>
      <c r="E22" s="20" t="s">
        <v>139</v>
      </c>
      <c r="F22" s="19" t="s">
        <v>824</v>
      </c>
      <c r="G22" s="19" t="s">
        <v>825</v>
      </c>
      <c r="H22" s="21" t="s">
        <v>35</v>
      </c>
      <c r="I22" s="19" t="s">
        <v>6</v>
      </c>
      <c r="J22" s="19" t="s">
        <v>6</v>
      </c>
    </row>
    <row r="23" customFormat="false" ht="15" hidden="false" customHeight="false" outlineLevel="0" collapsed="false">
      <c r="A23" s="18" t="n">
        <v>47</v>
      </c>
      <c r="B23" s="19" t="s">
        <v>123</v>
      </c>
      <c r="C23" s="19" t="s">
        <v>138</v>
      </c>
      <c r="D23" s="19" t="s">
        <v>814</v>
      </c>
      <c r="E23" s="20" t="s">
        <v>139</v>
      </c>
      <c r="F23" s="19" t="s">
        <v>826</v>
      </c>
      <c r="G23" s="19" t="s">
        <v>827</v>
      </c>
      <c r="H23" s="21" t="s">
        <v>35</v>
      </c>
      <c r="I23" s="19" t="s">
        <v>6</v>
      </c>
      <c r="J23" s="19" t="s">
        <v>6</v>
      </c>
    </row>
    <row r="24" customFormat="false" ht="15" hidden="false" customHeight="false" outlineLevel="0" collapsed="false">
      <c r="A24" s="18" t="n">
        <v>47</v>
      </c>
      <c r="B24" s="19" t="s">
        <v>123</v>
      </c>
      <c r="C24" s="19" t="s">
        <v>138</v>
      </c>
      <c r="D24" s="19" t="s">
        <v>814</v>
      </c>
      <c r="E24" s="20" t="s">
        <v>139</v>
      </c>
      <c r="F24" s="19" t="s">
        <v>828</v>
      </c>
      <c r="G24" s="19" t="s">
        <v>829</v>
      </c>
      <c r="H24" s="21" t="s">
        <v>35</v>
      </c>
      <c r="I24" s="19" t="s">
        <v>6</v>
      </c>
      <c r="J24" s="19" t="s">
        <v>6</v>
      </c>
    </row>
    <row r="25" customFormat="false" ht="15" hidden="false" customHeight="false" outlineLevel="0" collapsed="false">
      <c r="A25" s="18" t="n">
        <v>47</v>
      </c>
      <c r="B25" s="19" t="s">
        <v>123</v>
      </c>
      <c r="C25" s="19" t="s">
        <v>138</v>
      </c>
      <c r="D25" s="19" t="s">
        <v>814</v>
      </c>
      <c r="E25" s="20" t="s">
        <v>139</v>
      </c>
      <c r="F25" s="19" t="s">
        <v>830</v>
      </c>
      <c r="G25" s="19" t="s">
        <v>831</v>
      </c>
      <c r="H25" s="21" t="s">
        <v>35</v>
      </c>
      <c r="I25" s="19" t="s">
        <v>6</v>
      </c>
      <c r="J25" s="19" t="s">
        <v>6</v>
      </c>
    </row>
    <row r="26" customFormat="false" ht="15" hidden="false" customHeight="false" outlineLevel="0" collapsed="false">
      <c r="A26" s="18" t="n">
        <v>47</v>
      </c>
      <c r="B26" s="19" t="s">
        <v>123</v>
      </c>
      <c r="C26" s="19" t="s">
        <v>138</v>
      </c>
      <c r="D26" s="19" t="s">
        <v>814</v>
      </c>
      <c r="E26" s="20" t="s">
        <v>139</v>
      </c>
      <c r="F26" s="19" t="s">
        <v>832</v>
      </c>
      <c r="G26" s="19" t="s">
        <v>833</v>
      </c>
      <c r="H26" s="21" t="s">
        <v>35</v>
      </c>
      <c r="I26" s="19" t="s">
        <v>6</v>
      </c>
      <c r="J26" s="19" t="s">
        <v>6</v>
      </c>
    </row>
    <row r="27" customFormat="false" ht="15" hidden="false" customHeight="false" outlineLevel="0" collapsed="false">
      <c r="A27" s="18" t="n">
        <v>48</v>
      </c>
      <c r="B27" s="19" t="s">
        <v>123</v>
      </c>
      <c r="C27" s="19" t="s">
        <v>140</v>
      </c>
      <c r="D27" s="19" t="s">
        <v>814</v>
      </c>
      <c r="E27" s="20" t="s">
        <v>141</v>
      </c>
      <c r="F27" s="19" t="s">
        <v>834</v>
      </c>
      <c r="G27" s="19" t="s">
        <v>835</v>
      </c>
      <c r="H27" s="21" t="s">
        <v>35</v>
      </c>
      <c r="I27" s="19" t="s">
        <v>6</v>
      </c>
      <c r="J27" s="19" t="s">
        <v>6</v>
      </c>
    </row>
    <row r="28" customFormat="false" ht="15" hidden="false" customHeight="false" outlineLevel="0" collapsed="false">
      <c r="A28" s="18" t="n">
        <v>48</v>
      </c>
      <c r="B28" s="19" t="s">
        <v>123</v>
      </c>
      <c r="C28" s="19" t="s">
        <v>140</v>
      </c>
      <c r="D28" s="19" t="s">
        <v>814</v>
      </c>
      <c r="E28" s="20" t="s">
        <v>141</v>
      </c>
      <c r="F28" s="19" t="s">
        <v>836</v>
      </c>
      <c r="G28" s="19" t="s">
        <v>837</v>
      </c>
      <c r="H28" s="21" t="s">
        <v>35</v>
      </c>
      <c r="I28" s="19" t="s">
        <v>6</v>
      </c>
      <c r="J28" s="19" t="s">
        <v>6</v>
      </c>
    </row>
    <row r="29" customFormat="false" ht="15" hidden="false" customHeight="false" outlineLevel="0" collapsed="false">
      <c r="A29" s="18" t="n">
        <v>48</v>
      </c>
      <c r="B29" s="19" t="s">
        <v>123</v>
      </c>
      <c r="C29" s="19" t="s">
        <v>140</v>
      </c>
      <c r="D29" s="19" t="s">
        <v>814</v>
      </c>
      <c r="E29" s="20" t="s">
        <v>141</v>
      </c>
      <c r="F29" s="19" t="s">
        <v>838</v>
      </c>
      <c r="G29" s="19" t="s">
        <v>839</v>
      </c>
      <c r="H29" s="21" t="s">
        <v>35</v>
      </c>
      <c r="I29" s="19" t="s">
        <v>6</v>
      </c>
      <c r="J29" s="19" t="s">
        <v>6</v>
      </c>
    </row>
    <row r="30" customFormat="false" ht="15" hidden="false" customHeight="false" outlineLevel="0" collapsed="false">
      <c r="A30" s="18" t="n">
        <v>48</v>
      </c>
      <c r="B30" s="19" t="s">
        <v>123</v>
      </c>
      <c r="C30" s="19" t="s">
        <v>140</v>
      </c>
      <c r="D30" s="19" t="s">
        <v>814</v>
      </c>
      <c r="E30" s="20" t="s">
        <v>141</v>
      </c>
      <c r="F30" s="19" t="s">
        <v>840</v>
      </c>
      <c r="G30" s="19" t="s">
        <v>841</v>
      </c>
      <c r="H30" s="21" t="s">
        <v>35</v>
      </c>
      <c r="I30" s="19" t="s">
        <v>6</v>
      </c>
      <c r="J30" s="19" t="s">
        <v>6</v>
      </c>
    </row>
    <row r="31" customFormat="false" ht="15" hidden="false" customHeight="false" outlineLevel="0" collapsed="false">
      <c r="A31" s="18" t="n">
        <v>49</v>
      </c>
      <c r="B31" s="19" t="s">
        <v>123</v>
      </c>
      <c r="C31" s="19" t="s">
        <v>142</v>
      </c>
      <c r="D31" s="19" t="s">
        <v>814</v>
      </c>
      <c r="E31" s="20" t="s">
        <v>143</v>
      </c>
      <c r="F31" s="19" t="s">
        <v>842</v>
      </c>
      <c r="G31" s="19" t="s">
        <v>843</v>
      </c>
      <c r="H31" s="21" t="s">
        <v>35</v>
      </c>
      <c r="I31" s="19" t="s">
        <v>6</v>
      </c>
      <c r="J31" s="19" t="s">
        <v>6</v>
      </c>
    </row>
    <row r="32" customFormat="false" ht="15" hidden="false" customHeight="false" outlineLevel="0" collapsed="false">
      <c r="A32" s="18" t="n">
        <v>49</v>
      </c>
      <c r="B32" s="19" t="s">
        <v>123</v>
      </c>
      <c r="C32" s="19" t="s">
        <v>142</v>
      </c>
      <c r="D32" s="19" t="s">
        <v>814</v>
      </c>
      <c r="E32" s="20" t="s">
        <v>143</v>
      </c>
      <c r="F32" s="19" t="s">
        <v>844</v>
      </c>
      <c r="G32" s="19" t="s">
        <v>845</v>
      </c>
      <c r="H32" s="21" t="s">
        <v>35</v>
      </c>
      <c r="I32" s="19" t="s">
        <v>6</v>
      </c>
      <c r="J32" s="19" t="s">
        <v>6</v>
      </c>
    </row>
    <row r="33" customFormat="false" ht="15" hidden="false" customHeight="false" outlineLevel="0" collapsed="false">
      <c r="A33" s="18" t="n">
        <v>49</v>
      </c>
      <c r="B33" s="19" t="s">
        <v>123</v>
      </c>
      <c r="C33" s="19" t="s">
        <v>142</v>
      </c>
      <c r="D33" s="19" t="s">
        <v>814</v>
      </c>
      <c r="E33" s="20" t="s">
        <v>143</v>
      </c>
      <c r="F33" s="19" t="s">
        <v>846</v>
      </c>
      <c r="G33" s="19" t="s">
        <v>847</v>
      </c>
      <c r="H33" s="21" t="s">
        <v>35</v>
      </c>
      <c r="I33" s="19" t="s">
        <v>6</v>
      </c>
      <c r="J33" s="19" t="s">
        <v>6</v>
      </c>
    </row>
    <row r="34" customFormat="false" ht="15" hidden="false" customHeight="false" outlineLevel="0" collapsed="false">
      <c r="A34" s="18" t="n">
        <v>49</v>
      </c>
      <c r="B34" s="19" t="s">
        <v>123</v>
      </c>
      <c r="C34" s="19" t="s">
        <v>142</v>
      </c>
      <c r="D34" s="19" t="s">
        <v>814</v>
      </c>
      <c r="E34" s="20" t="s">
        <v>143</v>
      </c>
      <c r="F34" s="19" t="s">
        <v>848</v>
      </c>
      <c r="G34" s="19" t="s">
        <v>849</v>
      </c>
      <c r="H34" s="21" t="s">
        <v>35</v>
      </c>
      <c r="I34" s="19" t="s">
        <v>6</v>
      </c>
      <c r="J34" s="19" t="s">
        <v>6</v>
      </c>
    </row>
    <row r="35" customFormat="false" ht="15" hidden="false" customHeight="false" outlineLevel="0" collapsed="false">
      <c r="A35" s="18" t="n">
        <v>50</v>
      </c>
      <c r="B35" s="19" t="s">
        <v>123</v>
      </c>
      <c r="C35" s="19" t="s">
        <v>144</v>
      </c>
      <c r="D35" s="19" t="s">
        <v>850</v>
      </c>
      <c r="E35" s="20" t="s">
        <v>145</v>
      </c>
      <c r="F35" s="19" t="s">
        <v>851</v>
      </c>
      <c r="G35" s="19" t="s">
        <v>852</v>
      </c>
      <c r="H35" s="21" t="s">
        <v>35</v>
      </c>
      <c r="I35" s="19" t="s">
        <v>6</v>
      </c>
      <c r="J35" s="19" t="s">
        <v>6</v>
      </c>
    </row>
    <row r="36" customFormat="false" ht="15" hidden="false" customHeight="false" outlineLevel="0" collapsed="false">
      <c r="A36" s="18" t="n">
        <v>50</v>
      </c>
      <c r="B36" s="19" t="s">
        <v>123</v>
      </c>
      <c r="C36" s="19" t="s">
        <v>144</v>
      </c>
      <c r="D36" s="19" t="s">
        <v>850</v>
      </c>
      <c r="E36" s="20" t="s">
        <v>145</v>
      </c>
      <c r="F36" s="19" t="s">
        <v>853</v>
      </c>
      <c r="G36" s="19" t="s">
        <v>854</v>
      </c>
      <c r="H36" s="21" t="s">
        <v>35</v>
      </c>
      <c r="I36" s="19" t="s">
        <v>6</v>
      </c>
      <c r="J36" s="19" t="s">
        <v>6</v>
      </c>
    </row>
    <row r="37" customFormat="false" ht="15" hidden="false" customHeight="false" outlineLevel="0" collapsed="false">
      <c r="A37" s="18" t="n">
        <v>50</v>
      </c>
      <c r="B37" s="19" t="s">
        <v>123</v>
      </c>
      <c r="C37" s="19" t="s">
        <v>144</v>
      </c>
      <c r="D37" s="19" t="s">
        <v>850</v>
      </c>
      <c r="E37" s="20" t="s">
        <v>145</v>
      </c>
      <c r="F37" s="19" t="s">
        <v>855</v>
      </c>
      <c r="G37" s="19" t="s">
        <v>856</v>
      </c>
      <c r="H37" s="21" t="s">
        <v>35</v>
      </c>
      <c r="I37" s="19" t="s">
        <v>6</v>
      </c>
      <c r="J37" s="19" t="s">
        <v>6</v>
      </c>
    </row>
    <row r="38" customFormat="false" ht="15" hidden="false" customHeight="false" outlineLevel="0" collapsed="false">
      <c r="A38" s="18" t="n">
        <v>50</v>
      </c>
      <c r="B38" s="19" t="s">
        <v>123</v>
      </c>
      <c r="C38" s="19" t="s">
        <v>144</v>
      </c>
      <c r="D38" s="19" t="s">
        <v>850</v>
      </c>
      <c r="E38" s="20" t="s">
        <v>145</v>
      </c>
      <c r="F38" s="19" t="s">
        <v>857</v>
      </c>
      <c r="G38" s="19" t="s">
        <v>858</v>
      </c>
      <c r="H38" s="21" t="s">
        <v>35</v>
      </c>
      <c r="I38" s="19" t="s">
        <v>6</v>
      </c>
      <c r="J38" s="19" t="s">
        <v>6</v>
      </c>
    </row>
    <row r="39" customFormat="false" ht="15" hidden="false" customHeight="false" outlineLevel="0" collapsed="false">
      <c r="A39" s="18" t="n">
        <v>50</v>
      </c>
      <c r="B39" s="19" t="s">
        <v>123</v>
      </c>
      <c r="C39" s="19" t="s">
        <v>144</v>
      </c>
      <c r="D39" s="19" t="s">
        <v>850</v>
      </c>
      <c r="E39" s="20" t="s">
        <v>145</v>
      </c>
      <c r="F39" s="19" t="s">
        <v>859</v>
      </c>
      <c r="G39" s="19" t="s">
        <v>860</v>
      </c>
      <c r="H39" s="21" t="s">
        <v>35</v>
      </c>
      <c r="I39" s="19" t="s">
        <v>6</v>
      </c>
      <c r="J39" s="19" t="s">
        <v>6</v>
      </c>
    </row>
    <row r="40" customFormat="false" ht="15" hidden="false" customHeight="false" outlineLevel="0" collapsed="false">
      <c r="A40" s="18" t="n">
        <v>50</v>
      </c>
      <c r="B40" s="19" t="s">
        <v>123</v>
      </c>
      <c r="C40" s="19" t="s">
        <v>144</v>
      </c>
      <c r="D40" s="19" t="s">
        <v>850</v>
      </c>
      <c r="E40" s="20" t="s">
        <v>145</v>
      </c>
      <c r="F40" s="19" t="s">
        <v>861</v>
      </c>
      <c r="G40" s="19" t="s">
        <v>862</v>
      </c>
      <c r="H40" s="21" t="s">
        <v>35</v>
      </c>
      <c r="I40" s="19" t="s">
        <v>6</v>
      </c>
      <c r="J40" s="19" t="s">
        <v>6</v>
      </c>
    </row>
    <row r="41" customFormat="false" ht="15" hidden="false" customHeight="false" outlineLevel="0" collapsed="false">
      <c r="A41" s="18" t="n">
        <v>50</v>
      </c>
      <c r="B41" s="19" t="s">
        <v>123</v>
      </c>
      <c r="C41" s="19" t="s">
        <v>144</v>
      </c>
      <c r="D41" s="19" t="s">
        <v>850</v>
      </c>
      <c r="E41" s="20" t="s">
        <v>145</v>
      </c>
      <c r="F41" s="19" t="s">
        <v>863</v>
      </c>
      <c r="G41" s="19" t="s">
        <v>864</v>
      </c>
      <c r="H41" s="21" t="s">
        <v>35</v>
      </c>
      <c r="I41" s="19" t="s">
        <v>6</v>
      </c>
      <c r="J41" s="19" t="s">
        <v>6</v>
      </c>
    </row>
    <row r="42" customFormat="false" ht="15" hidden="false" customHeight="false" outlineLevel="0" collapsed="false">
      <c r="A42" s="18" t="n">
        <v>50</v>
      </c>
      <c r="B42" s="19" t="s">
        <v>123</v>
      </c>
      <c r="C42" s="19" t="s">
        <v>144</v>
      </c>
      <c r="D42" s="19" t="s">
        <v>850</v>
      </c>
      <c r="E42" s="20" t="s">
        <v>145</v>
      </c>
      <c r="F42" s="19" t="s">
        <v>865</v>
      </c>
      <c r="G42" s="19" t="s">
        <v>866</v>
      </c>
      <c r="H42" s="21" t="s">
        <v>35</v>
      </c>
      <c r="I42" s="19" t="s">
        <v>6</v>
      </c>
      <c r="J42" s="19" t="s">
        <v>6</v>
      </c>
    </row>
    <row r="43" customFormat="false" ht="15" hidden="false" customHeight="false" outlineLevel="0" collapsed="false">
      <c r="A43" s="18" t="n">
        <v>51</v>
      </c>
      <c r="B43" s="19" t="s">
        <v>123</v>
      </c>
      <c r="C43" s="19" t="s">
        <v>147</v>
      </c>
      <c r="D43" s="19" t="s">
        <v>850</v>
      </c>
      <c r="E43" s="20" t="s">
        <v>148</v>
      </c>
      <c r="F43" s="19" t="s">
        <v>867</v>
      </c>
      <c r="G43" s="19" t="s">
        <v>868</v>
      </c>
      <c r="H43" s="21" t="s">
        <v>35</v>
      </c>
      <c r="I43" s="19" t="s">
        <v>6</v>
      </c>
      <c r="J43" s="19" t="s">
        <v>6</v>
      </c>
    </row>
    <row r="44" customFormat="false" ht="15" hidden="false" customHeight="false" outlineLevel="0" collapsed="false">
      <c r="A44" s="18" t="n">
        <v>51</v>
      </c>
      <c r="B44" s="19" t="s">
        <v>123</v>
      </c>
      <c r="C44" s="19" t="s">
        <v>147</v>
      </c>
      <c r="D44" s="19" t="s">
        <v>850</v>
      </c>
      <c r="E44" s="20" t="s">
        <v>148</v>
      </c>
      <c r="F44" s="19" t="s">
        <v>869</v>
      </c>
      <c r="G44" s="19" t="s">
        <v>870</v>
      </c>
      <c r="H44" s="21" t="s">
        <v>35</v>
      </c>
      <c r="I44" s="19" t="s">
        <v>6</v>
      </c>
      <c r="J44" s="19" t="s">
        <v>6</v>
      </c>
    </row>
    <row r="45" customFormat="false" ht="15" hidden="false" customHeight="false" outlineLevel="0" collapsed="false">
      <c r="A45" s="18" t="n">
        <v>51</v>
      </c>
      <c r="B45" s="19" t="s">
        <v>123</v>
      </c>
      <c r="C45" s="19" t="s">
        <v>147</v>
      </c>
      <c r="D45" s="19" t="s">
        <v>850</v>
      </c>
      <c r="E45" s="20" t="s">
        <v>148</v>
      </c>
      <c r="F45" s="19" t="s">
        <v>871</v>
      </c>
      <c r="G45" s="19" t="s">
        <v>872</v>
      </c>
      <c r="H45" s="21" t="s">
        <v>35</v>
      </c>
      <c r="I45" s="19" t="s">
        <v>6</v>
      </c>
      <c r="J45" s="19" t="s">
        <v>6</v>
      </c>
    </row>
    <row r="46" customFormat="false" ht="15" hidden="false" customHeight="false" outlineLevel="0" collapsed="false">
      <c r="A46" s="18" t="n">
        <v>51</v>
      </c>
      <c r="B46" s="19" t="s">
        <v>123</v>
      </c>
      <c r="C46" s="19" t="s">
        <v>147</v>
      </c>
      <c r="D46" s="19" t="s">
        <v>850</v>
      </c>
      <c r="E46" s="20" t="s">
        <v>148</v>
      </c>
      <c r="F46" s="19" t="s">
        <v>873</v>
      </c>
      <c r="G46" s="19" t="s">
        <v>874</v>
      </c>
      <c r="H46" s="21" t="s">
        <v>35</v>
      </c>
      <c r="I46" s="19" t="s">
        <v>6</v>
      </c>
      <c r="J46" s="19" t="s">
        <v>6</v>
      </c>
    </row>
    <row r="47" customFormat="false" ht="15" hidden="false" customHeight="false" outlineLevel="0" collapsed="false">
      <c r="A47" s="18" t="n">
        <v>51</v>
      </c>
      <c r="B47" s="19" t="s">
        <v>123</v>
      </c>
      <c r="C47" s="19" t="s">
        <v>147</v>
      </c>
      <c r="D47" s="19" t="s">
        <v>850</v>
      </c>
      <c r="E47" s="20" t="s">
        <v>148</v>
      </c>
      <c r="F47" s="19" t="s">
        <v>875</v>
      </c>
      <c r="G47" s="19" t="s">
        <v>876</v>
      </c>
      <c r="H47" s="21" t="s">
        <v>35</v>
      </c>
      <c r="I47" s="19" t="s">
        <v>6</v>
      </c>
      <c r="J47" s="19" t="s">
        <v>6</v>
      </c>
    </row>
    <row r="48" customFormat="false" ht="15" hidden="false" customHeight="false" outlineLevel="0" collapsed="false">
      <c r="A48" s="18" t="n">
        <v>51</v>
      </c>
      <c r="B48" s="19" t="s">
        <v>123</v>
      </c>
      <c r="C48" s="19" t="s">
        <v>147</v>
      </c>
      <c r="D48" s="19" t="s">
        <v>850</v>
      </c>
      <c r="E48" s="20" t="s">
        <v>148</v>
      </c>
      <c r="F48" s="19" t="s">
        <v>877</v>
      </c>
      <c r="G48" s="19" t="s">
        <v>878</v>
      </c>
      <c r="H48" s="21" t="s">
        <v>35</v>
      </c>
      <c r="I48" s="19" t="s">
        <v>6</v>
      </c>
      <c r="J48" s="19" t="s">
        <v>6</v>
      </c>
    </row>
    <row r="49" customFormat="false" ht="15" hidden="false" customHeight="false" outlineLevel="0" collapsed="false">
      <c r="A49" s="18" t="n">
        <v>52</v>
      </c>
      <c r="B49" s="19" t="s">
        <v>150</v>
      </c>
      <c r="C49" s="19" t="s">
        <v>151</v>
      </c>
      <c r="D49" s="19" t="s">
        <v>879</v>
      </c>
      <c r="E49" s="20" t="s">
        <v>152</v>
      </c>
      <c r="F49" s="19" t="s">
        <v>880</v>
      </c>
      <c r="G49" s="19" t="s">
        <v>881</v>
      </c>
      <c r="H49" s="21" t="s">
        <v>35</v>
      </c>
      <c r="I49" s="19" t="s">
        <v>6</v>
      </c>
      <c r="J49" s="19" t="s">
        <v>6</v>
      </c>
    </row>
    <row r="50" customFormat="false" ht="15" hidden="false" customHeight="false" outlineLevel="0" collapsed="false">
      <c r="A50" s="18" t="n">
        <v>52</v>
      </c>
      <c r="B50" s="19" t="s">
        <v>150</v>
      </c>
      <c r="C50" s="19" t="s">
        <v>151</v>
      </c>
      <c r="D50" s="19" t="s">
        <v>879</v>
      </c>
      <c r="E50" s="20" t="s">
        <v>152</v>
      </c>
      <c r="F50" s="19" t="s">
        <v>882</v>
      </c>
      <c r="G50" s="19" t="s">
        <v>883</v>
      </c>
      <c r="H50" s="21" t="s">
        <v>35</v>
      </c>
      <c r="I50" s="19" t="s">
        <v>6</v>
      </c>
      <c r="J50" s="19" t="s">
        <v>6</v>
      </c>
    </row>
    <row r="51" customFormat="false" ht="15" hidden="false" customHeight="false" outlineLevel="0" collapsed="false">
      <c r="A51" s="18" t="n">
        <v>52</v>
      </c>
      <c r="B51" s="19" t="s">
        <v>150</v>
      </c>
      <c r="C51" s="19" t="s">
        <v>151</v>
      </c>
      <c r="D51" s="19" t="s">
        <v>879</v>
      </c>
      <c r="E51" s="20" t="s">
        <v>152</v>
      </c>
      <c r="F51" s="19" t="s">
        <v>884</v>
      </c>
      <c r="G51" s="19" t="s">
        <v>885</v>
      </c>
      <c r="H51" s="21" t="s">
        <v>35</v>
      </c>
      <c r="I51" s="19" t="s">
        <v>6</v>
      </c>
      <c r="J51" s="19" t="s">
        <v>6</v>
      </c>
    </row>
    <row r="52" customFormat="false" ht="15" hidden="false" customHeight="false" outlineLevel="0" collapsed="false">
      <c r="A52" s="18" t="n">
        <v>52</v>
      </c>
      <c r="B52" s="19" t="s">
        <v>150</v>
      </c>
      <c r="C52" s="19" t="s">
        <v>151</v>
      </c>
      <c r="D52" s="19" t="s">
        <v>879</v>
      </c>
      <c r="E52" s="20" t="s">
        <v>152</v>
      </c>
      <c r="F52" s="19" t="s">
        <v>886</v>
      </c>
      <c r="G52" s="19" t="s">
        <v>887</v>
      </c>
      <c r="H52" s="21" t="s">
        <v>35</v>
      </c>
      <c r="I52" s="19" t="s">
        <v>6</v>
      </c>
      <c r="J52" s="19" t="s">
        <v>6</v>
      </c>
    </row>
    <row r="53" customFormat="false" ht="15" hidden="false" customHeight="false" outlineLevel="0" collapsed="false">
      <c r="A53" s="18" t="n">
        <v>52</v>
      </c>
      <c r="B53" s="19" t="s">
        <v>150</v>
      </c>
      <c r="C53" s="19" t="s">
        <v>151</v>
      </c>
      <c r="D53" s="19" t="s">
        <v>879</v>
      </c>
      <c r="E53" s="20" t="s">
        <v>152</v>
      </c>
      <c r="F53" s="19" t="s">
        <v>888</v>
      </c>
      <c r="G53" s="19" t="s">
        <v>889</v>
      </c>
      <c r="H53" s="21" t="s">
        <v>35</v>
      </c>
      <c r="I53" s="19" t="s">
        <v>6</v>
      </c>
      <c r="J53" s="19" t="s">
        <v>6</v>
      </c>
    </row>
    <row r="54" customFormat="false" ht="15" hidden="false" customHeight="false" outlineLevel="0" collapsed="false">
      <c r="A54" s="18" t="n">
        <v>53</v>
      </c>
      <c r="B54" s="19" t="s">
        <v>150</v>
      </c>
      <c r="C54" s="19" t="s">
        <v>153</v>
      </c>
      <c r="D54" s="19" t="s">
        <v>879</v>
      </c>
      <c r="E54" s="20" t="s">
        <v>154</v>
      </c>
      <c r="F54" s="19" t="s">
        <v>890</v>
      </c>
      <c r="G54" s="19" t="s">
        <v>891</v>
      </c>
      <c r="H54" s="22" t="s">
        <v>66</v>
      </c>
      <c r="I54" s="19" t="s">
        <v>6</v>
      </c>
      <c r="J54" s="19" t="s">
        <v>6</v>
      </c>
    </row>
    <row r="55" customFormat="false" ht="15" hidden="false" customHeight="false" outlineLevel="0" collapsed="false">
      <c r="A55" s="18" t="n">
        <v>53</v>
      </c>
      <c r="B55" s="19" t="s">
        <v>150</v>
      </c>
      <c r="C55" s="19" t="s">
        <v>153</v>
      </c>
      <c r="D55" s="19" t="s">
        <v>879</v>
      </c>
      <c r="E55" s="20" t="s">
        <v>154</v>
      </c>
      <c r="F55" s="19" t="s">
        <v>892</v>
      </c>
      <c r="G55" s="19" t="s">
        <v>893</v>
      </c>
      <c r="H55" s="22" t="s">
        <v>66</v>
      </c>
      <c r="I55" s="19" t="s">
        <v>6</v>
      </c>
      <c r="J55" s="19" t="s">
        <v>6</v>
      </c>
    </row>
    <row r="56" customFormat="false" ht="15" hidden="false" customHeight="false" outlineLevel="0" collapsed="false">
      <c r="A56" s="18" t="n">
        <v>53</v>
      </c>
      <c r="B56" s="19" t="s">
        <v>150</v>
      </c>
      <c r="C56" s="19" t="s">
        <v>153</v>
      </c>
      <c r="D56" s="19" t="s">
        <v>879</v>
      </c>
      <c r="E56" s="20" t="s">
        <v>154</v>
      </c>
      <c r="F56" s="19" t="s">
        <v>894</v>
      </c>
      <c r="G56" s="19" t="s">
        <v>895</v>
      </c>
      <c r="H56" s="22" t="s">
        <v>66</v>
      </c>
      <c r="I56" s="19" t="s">
        <v>6</v>
      </c>
      <c r="J56" s="19" t="s">
        <v>6</v>
      </c>
    </row>
    <row r="57" customFormat="false" ht="15" hidden="false" customHeight="false" outlineLevel="0" collapsed="false">
      <c r="A57" s="18" t="n">
        <v>53</v>
      </c>
      <c r="B57" s="19" t="s">
        <v>150</v>
      </c>
      <c r="C57" s="19" t="s">
        <v>153</v>
      </c>
      <c r="D57" s="19" t="s">
        <v>879</v>
      </c>
      <c r="E57" s="20" t="s">
        <v>154</v>
      </c>
      <c r="F57" s="19" t="s">
        <v>896</v>
      </c>
      <c r="G57" s="19" t="s">
        <v>897</v>
      </c>
      <c r="H57" s="22" t="s">
        <v>66</v>
      </c>
      <c r="I57" s="19" t="s">
        <v>6</v>
      </c>
      <c r="J57" s="19" t="s">
        <v>6</v>
      </c>
    </row>
    <row r="58" customFormat="false" ht="15" hidden="false" customHeight="false" outlineLevel="0" collapsed="false">
      <c r="A58" s="18" t="n">
        <v>54</v>
      </c>
      <c r="B58" s="19" t="s">
        <v>150</v>
      </c>
      <c r="C58" s="19" t="s">
        <v>155</v>
      </c>
      <c r="D58" s="19" t="s">
        <v>898</v>
      </c>
      <c r="E58" s="20" t="s">
        <v>156</v>
      </c>
      <c r="F58" s="19" t="s">
        <v>899</v>
      </c>
      <c r="G58" s="19" t="s">
        <v>900</v>
      </c>
      <c r="H58" s="21" t="s">
        <v>35</v>
      </c>
      <c r="I58" s="19" t="s">
        <v>6</v>
      </c>
      <c r="J58" s="19" t="s">
        <v>6</v>
      </c>
    </row>
    <row r="59" customFormat="false" ht="15" hidden="false" customHeight="false" outlineLevel="0" collapsed="false">
      <c r="A59" s="18" t="n">
        <v>54</v>
      </c>
      <c r="B59" s="19" t="s">
        <v>150</v>
      </c>
      <c r="C59" s="19" t="s">
        <v>155</v>
      </c>
      <c r="D59" s="19" t="s">
        <v>898</v>
      </c>
      <c r="E59" s="20" t="s">
        <v>156</v>
      </c>
      <c r="F59" s="19" t="s">
        <v>901</v>
      </c>
      <c r="G59" s="19" t="s">
        <v>902</v>
      </c>
      <c r="H59" s="21" t="s">
        <v>35</v>
      </c>
      <c r="I59" s="19" t="s">
        <v>6</v>
      </c>
      <c r="J59" s="19" t="s">
        <v>6</v>
      </c>
    </row>
    <row r="60" customFormat="false" ht="15" hidden="false" customHeight="false" outlineLevel="0" collapsed="false">
      <c r="A60" s="18" t="n">
        <v>54</v>
      </c>
      <c r="B60" s="19" t="s">
        <v>150</v>
      </c>
      <c r="C60" s="19" t="s">
        <v>155</v>
      </c>
      <c r="D60" s="19" t="s">
        <v>898</v>
      </c>
      <c r="E60" s="20" t="s">
        <v>156</v>
      </c>
      <c r="F60" s="19" t="s">
        <v>903</v>
      </c>
      <c r="G60" s="19" t="s">
        <v>904</v>
      </c>
      <c r="H60" s="21" t="s">
        <v>35</v>
      </c>
      <c r="I60" s="19" t="s">
        <v>6</v>
      </c>
      <c r="J60" s="19" t="s">
        <v>6</v>
      </c>
    </row>
    <row r="61" customFormat="false" ht="15" hidden="false" customHeight="false" outlineLevel="0" collapsed="false">
      <c r="A61" s="18" t="n">
        <v>54</v>
      </c>
      <c r="B61" s="19" t="s">
        <v>150</v>
      </c>
      <c r="C61" s="19" t="s">
        <v>155</v>
      </c>
      <c r="D61" s="19" t="s">
        <v>898</v>
      </c>
      <c r="E61" s="20" t="s">
        <v>156</v>
      </c>
      <c r="F61" s="19" t="s">
        <v>905</v>
      </c>
      <c r="G61" s="19" t="s">
        <v>906</v>
      </c>
      <c r="H61" s="21" t="s">
        <v>35</v>
      </c>
      <c r="I61" s="19" t="s">
        <v>6</v>
      </c>
      <c r="J61" s="19" t="s">
        <v>6</v>
      </c>
    </row>
    <row r="62" customFormat="false" ht="15" hidden="false" customHeight="false" outlineLevel="0" collapsed="false">
      <c r="A62" s="18" t="n">
        <v>55</v>
      </c>
      <c r="B62" s="19" t="s">
        <v>150</v>
      </c>
      <c r="C62" s="19" t="s">
        <v>157</v>
      </c>
      <c r="D62" s="19" t="s">
        <v>898</v>
      </c>
      <c r="E62" s="20" t="s">
        <v>158</v>
      </c>
      <c r="F62" s="19" t="s">
        <v>907</v>
      </c>
      <c r="G62" s="19" t="s">
        <v>908</v>
      </c>
      <c r="H62" s="21" t="s">
        <v>35</v>
      </c>
      <c r="I62" s="19" t="s">
        <v>6</v>
      </c>
      <c r="J62" s="19" t="s">
        <v>6</v>
      </c>
    </row>
    <row r="63" customFormat="false" ht="15" hidden="false" customHeight="false" outlineLevel="0" collapsed="false">
      <c r="A63" s="18" t="n">
        <v>55</v>
      </c>
      <c r="B63" s="19" t="s">
        <v>150</v>
      </c>
      <c r="C63" s="19" t="s">
        <v>157</v>
      </c>
      <c r="D63" s="19" t="s">
        <v>898</v>
      </c>
      <c r="E63" s="20" t="s">
        <v>158</v>
      </c>
      <c r="F63" s="19" t="s">
        <v>909</v>
      </c>
      <c r="G63" s="19" t="s">
        <v>910</v>
      </c>
      <c r="H63" s="21" t="s">
        <v>35</v>
      </c>
      <c r="I63" s="19" t="s">
        <v>6</v>
      </c>
      <c r="J63" s="19" t="s">
        <v>6</v>
      </c>
    </row>
    <row r="64" customFormat="false" ht="15" hidden="false" customHeight="false" outlineLevel="0" collapsed="false">
      <c r="A64" s="18" t="n">
        <v>55</v>
      </c>
      <c r="B64" s="19" t="s">
        <v>150</v>
      </c>
      <c r="C64" s="19" t="s">
        <v>157</v>
      </c>
      <c r="D64" s="19" t="s">
        <v>898</v>
      </c>
      <c r="E64" s="20" t="s">
        <v>158</v>
      </c>
      <c r="F64" s="19" t="s">
        <v>911</v>
      </c>
      <c r="G64" s="19" t="s">
        <v>912</v>
      </c>
      <c r="H64" s="21" t="s">
        <v>35</v>
      </c>
      <c r="I64" s="19" t="s">
        <v>6</v>
      </c>
      <c r="J64" s="19" t="s">
        <v>6</v>
      </c>
    </row>
    <row r="65" customFormat="false" ht="15" hidden="false" customHeight="false" outlineLevel="0" collapsed="false">
      <c r="A65" s="18" t="n">
        <v>55</v>
      </c>
      <c r="B65" s="19" t="s">
        <v>150</v>
      </c>
      <c r="C65" s="19" t="s">
        <v>157</v>
      </c>
      <c r="D65" s="19" t="s">
        <v>898</v>
      </c>
      <c r="E65" s="20" t="s">
        <v>158</v>
      </c>
      <c r="F65" s="19" t="s">
        <v>913</v>
      </c>
      <c r="G65" s="19" t="s">
        <v>914</v>
      </c>
      <c r="H65" s="21" t="s">
        <v>35</v>
      </c>
      <c r="I65" s="19" t="s">
        <v>6</v>
      </c>
      <c r="J65" s="19" t="s">
        <v>6</v>
      </c>
    </row>
    <row r="66" customFormat="false" ht="15" hidden="false" customHeight="false" outlineLevel="0" collapsed="false">
      <c r="A66" s="18" t="n">
        <v>56</v>
      </c>
      <c r="B66" s="19" t="s">
        <v>150</v>
      </c>
      <c r="C66" s="19" t="s">
        <v>159</v>
      </c>
      <c r="D66" s="19" t="s">
        <v>915</v>
      </c>
      <c r="E66" s="20" t="s">
        <v>160</v>
      </c>
      <c r="F66" s="19" t="s">
        <v>916</v>
      </c>
      <c r="G66" s="19" t="s">
        <v>917</v>
      </c>
      <c r="H66" s="22" t="s">
        <v>66</v>
      </c>
      <c r="I66" s="19" t="s">
        <v>6</v>
      </c>
      <c r="J66" s="19" t="s">
        <v>6</v>
      </c>
    </row>
    <row r="67" customFormat="false" ht="15" hidden="false" customHeight="false" outlineLevel="0" collapsed="false">
      <c r="A67" s="18" t="n">
        <v>56</v>
      </c>
      <c r="B67" s="19" t="s">
        <v>150</v>
      </c>
      <c r="C67" s="19" t="s">
        <v>159</v>
      </c>
      <c r="D67" s="19" t="s">
        <v>915</v>
      </c>
      <c r="E67" s="20" t="s">
        <v>160</v>
      </c>
      <c r="F67" s="19" t="s">
        <v>918</v>
      </c>
      <c r="G67" s="19" t="s">
        <v>919</v>
      </c>
      <c r="H67" s="22" t="s">
        <v>66</v>
      </c>
      <c r="I67" s="19" t="s">
        <v>6</v>
      </c>
      <c r="J67" s="19" t="s">
        <v>6</v>
      </c>
    </row>
    <row r="68" customFormat="false" ht="15" hidden="false" customHeight="false" outlineLevel="0" collapsed="false">
      <c r="A68" s="18" t="n">
        <v>56</v>
      </c>
      <c r="B68" s="19" t="s">
        <v>150</v>
      </c>
      <c r="C68" s="19" t="s">
        <v>159</v>
      </c>
      <c r="D68" s="19" t="s">
        <v>915</v>
      </c>
      <c r="E68" s="20" t="s">
        <v>160</v>
      </c>
      <c r="F68" s="19" t="s">
        <v>920</v>
      </c>
      <c r="G68" s="19" t="s">
        <v>921</v>
      </c>
      <c r="H68" s="22" t="s">
        <v>66</v>
      </c>
      <c r="I68" s="19" t="s">
        <v>6</v>
      </c>
      <c r="J68" s="19" t="s">
        <v>6</v>
      </c>
    </row>
    <row r="69" customFormat="false" ht="15" hidden="false" customHeight="false" outlineLevel="0" collapsed="false">
      <c r="A69" s="18" t="n">
        <v>56</v>
      </c>
      <c r="B69" s="19" t="s">
        <v>150</v>
      </c>
      <c r="C69" s="19" t="s">
        <v>159</v>
      </c>
      <c r="D69" s="19" t="s">
        <v>915</v>
      </c>
      <c r="E69" s="20" t="s">
        <v>160</v>
      </c>
      <c r="F69" s="19" t="s">
        <v>922</v>
      </c>
      <c r="G69" s="19" t="s">
        <v>923</v>
      </c>
      <c r="H69" s="22" t="s">
        <v>66</v>
      </c>
      <c r="I69" s="19" t="s">
        <v>6</v>
      </c>
      <c r="J69" s="19" t="s">
        <v>6</v>
      </c>
    </row>
    <row r="70" customFormat="false" ht="15" hidden="false" customHeight="false" outlineLevel="0" collapsed="false">
      <c r="A70" s="18" t="n">
        <v>56</v>
      </c>
      <c r="B70" s="19" t="s">
        <v>150</v>
      </c>
      <c r="C70" s="19" t="s">
        <v>159</v>
      </c>
      <c r="D70" s="19" t="s">
        <v>915</v>
      </c>
      <c r="E70" s="20" t="s">
        <v>160</v>
      </c>
      <c r="F70" s="19" t="s">
        <v>924</v>
      </c>
      <c r="G70" s="19" t="s">
        <v>925</v>
      </c>
      <c r="H70" s="22" t="s">
        <v>66</v>
      </c>
      <c r="I70" s="19" t="s">
        <v>6</v>
      </c>
      <c r="J70" s="19" t="s">
        <v>6</v>
      </c>
    </row>
    <row r="71" customFormat="false" ht="15" hidden="false" customHeight="false" outlineLevel="0" collapsed="false">
      <c r="A71" s="18" t="n">
        <v>57</v>
      </c>
      <c r="B71" s="19" t="s">
        <v>150</v>
      </c>
      <c r="C71" s="19" t="s">
        <v>161</v>
      </c>
      <c r="D71" s="19" t="s">
        <v>926</v>
      </c>
      <c r="E71" s="20" t="s">
        <v>162</v>
      </c>
      <c r="F71" s="19" t="s">
        <v>927</v>
      </c>
      <c r="G71" s="19" t="s">
        <v>928</v>
      </c>
      <c r="H71" s="21" t="s">
        <v>35</v>
      </c>
      <c r="I71" s="19" t="s">
        <v>6</v>
      </c>
      <c r="J71" s="19" t="s">
        <v>6</v>
      </c>
    </row>
    <row r="72" customFormat="false" ht="23.85" hidden="false" customHeight="false" outlineLevel="0" collapsed="false">
      <c r="A72" s="18" t="n">
        <v>57</v>
      </c>
      <c r="B72" s="19" t="s">
        <v>150</v>
      </c>
      <c r="C72" s="19" t="s">
        <v>161</v>
      </c>
      <c r="D72" s="19" t="s">
        <v>926</v>
      </c>
      <c r="E72" s="20" t="s">
        <v>162</v>
      </c>
      <c r="F72" s="19" t="s">
        <v>929</v>
      </c>
      <c r="G72" s="19" t="s">
        <v>930</v>
      </c>
      <c r="H72" s="21" t="s">
        <v>35</v>
      </c>
      <c r="I72" s="19" t="s">
        <v>6</v>
      </c>
      <c r="J72" s="19" t="s">
        <v>6</v>
      </c>
    </row>
    <row r="73" customFormat="false" ht="15" hidden="false" customHeight="false" outlineLevel="0" collapsed="false">
      <c r="A73" s="18" t="n">
        <v>57</v>
      </c>
      <c r="B73" s="19" t="s">
        <v>150</v>
      </c>
      <c r="C73" s="19" t="s">
        <v>161</v>
      </c>
      <c r="D73" s="19" t="s">
        <v>926</v>
      </c>
      <c r="E73" s="20" t="s">
        <v>162</v>
      </c>
      <c r="F73" s="19" t="s">
        <v>931</v>
      </c>
      <c r="G73" s="19" t="s">
        <v>932</v>
      </c>
      <c r="H73" s="21" t="s">
        <v>35</v>
      </c>
      <c r="I73" s="19" t="s">
        <v>6</v>
      </c>
      <c r="J73" s="19" t="s">
        <v>6</v>
      </c>
    </row>
    <row r="74" customFormat="false" ht="15" hidden="false" customHeight="false" outlineLevel="0" collapsed="false">
      <c r="A74" s="18" t="n">
        <v>57</v>
      </c>
      <c r="B74" s="19" t="s">
        <v>150</v>
      </c>
      <c r="C74" s="19" t="s">
        <v>161</v>
      </c>
      <c r="D74" s="19" t="s">
        <v>926</v>
      </c>
      <c r="E74" s="20" t="s">
        <v>162</v>
      </c>
      <c r="F74" s="19" t="s">
        <v>933</v>
      </c>
      <c r="G74" s="19" t="s">
        <v>934</v>
      </c>
      <c r="H74" s="21" t="s">
        <v>35</v>
      </c>
      <c r="I74" s="19" t="s">
        <v>6</v>
      </c>
      <c r="J74" s="19" t="s">
        <v>6</v>
      </c>
    </row>
    <row r="75" customFormat="false" ht="15" hidden="false" customHeight="false" outlineLevel="0" collapsed="false">
      <c r="A75" s="18" t="n">
        <v>57</v>
      </c>
      <c r="B75" s="19" t="s">
        <v>150</v>
      </c>
      <c r="C75" s="19" t="s">
        <v>161</v>
      </c>
      <c r="D75" s="19" t="s">
        <v>926</v>
      </c>
      <c r="E75" s="20" t="s">
        <v>162</v>
      </c>
      <c r="F75" s="19" t="s">
        <v>935</v>
      </c>
      <c r="G75" s="19" t="s">
        <v>936</v>
      </c>
      <c r="H75" s="21" t="s">
        <v>35</v>
      </c>
      <c r="I75" s="19" t="s">
        <v>6</v>
      </c>
      <c r="J75" s="19" t="s">
        <v>6</v>
      </c>
    </row>
    <row r="76" customFormat="false" ht="15" hidden="false" customHeight="false" outlineLevel="0" collapsed="false">
      <c r="A76" s="18" t="n">
        <v>57</v>
      </c>
      <c r="B76" s="19" t="s">
        <v>150</v>
      </c>
      <c r="C76" s="19" t="s">
        <v>161</v>
      </c>
      <c r="D76" s="19" t="s">
        <v>926</v>
      </c>
      <c r="E76" s="20" t="s">
        <v>162</v>
      </c>
      <c r="F76" s="19" t="s">
        <v>937</v>
      </c>
      <c r="G76" s="19" t="s">
        <v>938</v>
      </c>
      <c r="H76" s="21" t="s">
        <v>35</v>
      </c>
      <c r="I76" s="19" t="s">
        <v>6</v>
      </c>
      <c r="J76" s="19" t="s">
        <v>6</v>
      </c>
    </row>
    <row r="77" customFormat="false" ht="15" hidden="false" customHeight="false" outlineLevel="0" collapsed="false">
      <c r="A77" s="18" t="n">
        <v>58</v>
      </c>
      <c r="B77" s="19" t="s">
        <v>150</v>
      </c>
      <c r="C77" s="19" t="s">
        <v>164</v>
      </c>
      <c r="D77" s="19" t="s">
        <v>926</v>
      </c>
      <c r="E77" s="20" t="s">
        <v>165</v>
      </c>
      <c r="F77" s="19" t="s">
        <v>580</v>
      </c>
      <c r="G77" s="19" t="s">
        <v>939</v>
      </c>
      <c r="H77" s="21" t="s">
        <v>35</v>
      </c>
      <c r="I77" s="19" t="s">
        <v>6</v>
      </c>
      <c r="J77" s="19" t="s">
        <v>6</v>
      </c>
    </row>
    <row r="78" customFormat="false" ht="15" hidden="false" customHeight="false" outlineLevel="0" collapsed="false">
      <c r="A78" s="18" t="n">
        <v>58</v>
      </c>
      <c r="B78" s="19" t="s">
        <v>150</v>
      </c>
      <c r="C78" s="19" t="s">
        <v>164</v>
      </c>
      <c r="D78" s="19" t="s">
        <v>926</v>
      </c>
      <c r="E78" s="20" t="s">
        <v>165</v>
      </c>
      <c r="F78" s="19" t="s">
        <v>940</v>
      </c>
      <c r="G78" s="19" t="s">
        <v>941</v>
      </c>
      <c r="H78" s="21" t="s">
        <v>35</v>
      </c>
      <c r="I78" s="19" t="s">
        <v>6</v>
      </c>
      <c r="J78" s="19" t="s">
        <v>6</v>
      </c>
    </row>
    <row r="79" customFormat="false" ht="15" hidden="false" customHeight="false" outlineLevel="0" collapsed="false">
      <c r="A79" s="18" t="n">
        <v>58</v>
      </c>
      <c r="B79" s="19" t="s">
        <v>150</v>
      </c>
      <c r="C79" s="19" t="s">
        <v>164</v>
      </c>
      <c r="D79" s="19" t="s">
        <v>926</v>
      </c>
      <c r="E79" s="20" t="s">
        <v>165</v>
      </c>
      <c r="F79" s="19" t="s">
        <v>942</v>
      </c>
      <c r="G79" s="19" t="s">
        <v>943</v>
      </c>
      <c r="H79" s="21" t="s">
        <v>35</v>
      </c>
      <c r="I79" s="19" t="s">
        <v>6</v>
      </c>
      <c r="J79" s="19" t="s">
        <v>6</v>
      </c>
    </row>
    <row r="80" customFormat="false" ht="23.85" hidden="false" customHeight="false" outlineLevel="0" collapsed="false">
      <c r="A80" s="18" t="n">
        <v>64</v>
      </c>
      <c r="B80" s="19" t="s">
        <v>166</v>
      </c>
      <c r="C80" s="19" t="s">
        <v>177</v>
      </c>
      <c r="D80" s="19" t="s">
        <v>944</v>
      </c>
      <c r="E80" s="20" t="s">
        <v>178</v>
      </c>
      <c r="F80" s="19" t="s">
        <v>945</v>
      </c>
      <c r="G80" s="19" t="s">
        <v>946</v>
      </c>
      <c r="H80" s="21" t="s">
        <v>35</v>
      </c>
      <c r="I80" s="19" t="s">
        <v>6</v>
      </c>
      <c r="J80" s="19" t="s">
        <v>6</v>
      </c>
    </row>
    <row r="81" customFormat="false" ht="23.85" hidden="false" customHeight="false" outlineLevel="0" collapsed="false">
      <c r="A81" s="18" t="n">
        <v>64</v>
      </c>
      <c r="B81" s="19" t="s">
        <v>166</v>
      </c>
      <c r="C81" s="19" t="s">
        <v>177</v>
      </c>
      <c r="D81" s="19" t="s">
        <v>944</v>
      </c>
      <c r="E81" s="20" t="s">
        <v>178</v>
      </c>
      <c r="F81" s="19" t="s">
        <v>947</v>
      </c>
      <c r="G81" s="19" t="s">
        <v>948</v>
      </c>
      <c r="H81" s="21" t="s">
        <v>35</v>
      </c>
      <c r="I81" s="19" t="s">
        <v>6</v>
      </c>
      <c r="J81" s="19" t="s">
        <v>6</v>
      </c>
    </row>
    <row r="82" customFormat="false" ht="23.85" hidden="false" customHeight="false" outlineLevel="0" collapsed="false">
      <c r="A82" s="18" t="n">
        <v>64</v>
      </c>
      <c r="B82" s="19" t="s">
        <v>166</v>
      </c>
      <c r="C82" s="19" t="s">
        <v>177</v>
      </c>
      <c r="D82" s="19" t="s">
        <v>944</v>
      </c>
      <c r="E82" s="20" t="s">
        <v>178</v>
      </c>
      <c r="F82" s="19" t="s">
        <v>949</v>
      </c>
      <c r="G82" s="19" t="s">
        <v>950</v>
      </c>
      <c r="H82" s="21" t="s">
        <v>35</v>
      </c>
      <c r="I82" s="19" t="s">
        <v>6</v>
      </c>
      <c r="J82" s="19" t="s">
        <v>6</v>
      </c>
    </row>
    <row r="83" customFormat="false" ht="23.85" hidden="false" customHeight="false" outlineLevel="0" collapsed="false">
      <c r="A83" s="18" t="n">
        <v>64</v>
      </c>
      <c r="B83" s="19" t="s">
        <v>166</v>
      </c>
      <c r="C83" s="19" t="s">
        <v>177</v>
      </c>
      <c r="D83" s="19" t="s">
        <v>944</v>
      </c>
      <c r="E83" s="20" t="s">
        <v>178</v>
      </c>
      <c r="F83" s="19" t="s">
        <v>951</v>
      </c>
      <c r="G83" s="19" t="s">
        <v>952</v>
      </c>
      <c r="H83" s="21" t="s">
        <v>35</v>
      </c>
      <c r="I83" s="19" t="s">
        <v>6</v>
      </c>
      <c r="J83" s="19" t="s">
        <v>6</v>
      </c>
    </row>
    <row r="84" customFormat="false" ht="23.85" hidden="false" customHeight="false" outlineLevel="0" collapsed="false">
      <c r="A84" s="18" t="n">
        <v>64</v>
      </c>
      <c r="B84" s="19" t="s">
        <v>166</v>
      </c>
      <c r="C84" s="19" t="s">
        <v>177</v>
      </c>
      <c r="D84" s="19" t="s">
        <v>944</v>
      </c>
      <c r="E84" s="20" t="s">
        <v>178</v>
      </c>
      <c r="F84" s="19" t="s">
        <v>953</v>
      </c>
      <c r="G84" s="19" t="s">
        <v>954</v>
      </c>
      <c r="H84" s="21" t="s">
        <v>35</v>
      </c>
      <c r="I84" s="19" t="s">
        <v>6</v>
      </c>
      <c r="J84" s="19" t="s">
        <v>6</v>
      </c>
    </row>
    <row r="85" customFormat="false" ht="15" hidden="false" customHeight="false" outlineLevel="0" collapsed="false">
      <c r="A85" s="18" t="n">
        <v>65</v>
      </c>
      <c r="B85" s="19" t="s">
        <v>166</v>
      </c>
      <c r="C85" s="19" t="s">
        <v>179</v>
      </c>
      <c r="D85" s="19" t="s">
        <v>955</v>
      </c>
      <c r="E85" s="20" t="s">
        <v>180</v>
      </c>
      <c r="F85" s="19" t="s">
        <v>956</v>
      </c>
      <c r="G85" s="19" t="s">
        <v>957</v>
      </c>
      <c r="H85" s="21" t="s">
        <v>35</v>
      </c>
      <c r="I85" s="19" t="s">
        <v>6</v>
      </c>
      <c r="J85" s="19" t="s">
        <v>6</v>
      </c>
    </row>
    <row r="86" customFormat="false" ht="15" hidden="false" customHeight="false" outlineLevel="0" collapsed="false">
      <c r="A86" s="18" t="n">
        <v>65</v>
      </c>
      <c r="B86" s="19" t="s">
        <v>166</v>
      </c>
      <c r="C86" s="19" t="s">
        <v>179</v>
      </c>
      <c r="D86" s="19" t="s">
        <v>955</v>
      </c>
      <c r="E86" s="20" t="s">
        <v>180</v>
      </c>
      <c r="F86" s="19" t="s">
        <v>958</v>
      </c>
      <c r="G86" s="19" t="s">
        <v>959</v>
      </c>
      <c r="H86" s="21" t="s">
        <v>35</v>
      </c>
      <c r="I86" s="19" t="s">
        <v>6</v>
      </c>
      <c r="J86" s="19" t="s">
        <v>6</v>
      </c>
    </row>
    <row r="87" customFormat="false" ht="15" hidden="false" customHeight="false" outlineLevel="0" collapsed="false">
      <c r="A87" s="18" t="n">
        <v>65</v>
      </c>
      <c r="B87" s="19" t="s">
        <v>166</v>
      </c>
      <c r="C87" s="19" t="s">
        <v>179</v>
      </c>
      <c r="D87" s="19" t="s">
        <v>955</v>
      </c>
      <c r="E87" s="20" t="s">
        <v>180</v>
      </c>
      <c r="F87" s="19" t="s">
        <v>960</v>
      </c>
      <c r="G87" s="19" t="s">
        <v>961</v>
      </c>
      <c r="H87" s="21" t="s">
        <v>35</v>
      </c>
      <c r="I87" s="19" t="s">
        <v>6</v>
      </c>
      <c r="J87" s="19" t="s">
        <v>6</v>
      </c>
    </row>
    <row r="88" customFormat="false" ht="15" hidden="false" customHeight="false" outlineLevel="0" collapsed="false">
      <c r="A88" s="18" t="n">
        <v>65</v>
      </c>
      <c r="B88" s="19" t="s">
        <v>166</v>
      </c>
      <c r="C88" s="19" t="s">
        <v>179</v>
      </c>
      <c r="D88" s="19" t="s">
        <v>955</v>
      </c>
      <c r="E88" s="20" t="s">
        <v>180</v>
      </c>
      <c r="F88" s="19" t="s">
        <v>962</v>
      </c>
      <c r="G88" s="19" t="s">
        <v>963</v>
      </c>
      <c r="H88" s="21" t="s">
        <v>35</v>
      </c>
      <c r="I88" s="19" t="s">
        <v>6</v>
      </c>
      <c r="J88" s="19" t="s">
        <v>6</v>
      </c>
    </row>
    <row r="89" customFormat="false" ht="15" hidden="false" customHeight="false" outlineLevel="0" collapsed="false">
      <c r="A89" s="18" t="n">
        <v>65</v>
      </c>
      <c r="B89" s="19" t="s">
        <v>166</v>
      </c>
      <c r="C89" s="19" t="s">
        <v>179</v>
      </c>
      <c r="D89" s="19" t="s">
        <v>955</v>
      </c>
      <c r="E89" s="20" t="s">
        <v>180</v>
      </c>
      <c r="F89" s="19" t="s">
        <v>964</v>
      </c>
      <c r="G89" s="19" t="s">
        <v>965</v>
      </c>
      <c r="H89" s="21" t="s">
        <v>35</v>
      </c>
      <c r="I89" s="19" t="s">
        <v>6</v>
      </c>
      <c r="J89" s="19" t="s">
        <v>6</v>
      </c>
    </row>
    <row r="90" customFormat="false" ht="15" hidden="false" customHeight="false" outlineLevel="0" collapsed="false">
      <c r="A90" s="18" t="n">
        <v>65</v>
      </c>
      <c r="B90" s="19" t="s">
        <v>166</v>
      </c>
      <c r="C90" s="19" t="s">
        <v>179</v>
      </c>
      <c r="D90" s="19" t="s">
        <v>955</v>
      </c>
      <c r="E90" s="20" t="s">
        <v>180</v>
      </c>
      <c r="F90" s="19" t="s">
        <v>966</v>
      </c>
      <c r="G90" s="19" t="s">
        <v>967</v>
      </c>
      <c r="H90" s="21" t="s">
        <v>35</v>
      </c>
      <c r="I90" s="19" t="s">
        <v>6</v>
      </c>
      <c r="J90" s="19" t="s">
        <v>6</v>
      </c>
    </row>
    <row r="91" customFormat="false" ht="15" hidden="false" customHeight="false" outlineLevel="0" collapsed="false">
      <c r="A91" s="18" t="n">
        <v>66</v>
      </c>
      <c r="B91" s="19" t="s">
        <v>166</v>
      </c>
      <c r="C91" s="19" t="s">
        <v>181</v>
      </c>
      <c r="D91" s="19" t="s">
        <v>968</v>
      </c>
      <c r="E91" s="20" t="s">
        <v>182</v>
      </c>
      <c r="F91" s="19" t="s">
        <v>969</v>
      </c>
      <c r="G91" s="19" t="s">
        <v>970</v>
      </c>
      <c r="H91" s="21" t="s">
        <v>35</v>
      </c>
      <c r="I91" s="19" t="s">
        <v>6</v>
      </c>
      <c r="J91" s="19" t="s">
        <v>6</v>
      </c>
    </row>
    <row r="92" customFormat="false" ht="15" hidden="false" customHeight="false" outlineLevel="0" collapsed="false">
      <c r="A92" s="18" t="n">
        <v>66</v>
      </c>
      <c r="B92" s="19" t="s">
        <v>166</v>
      </c>
      <c r="C92" s="19" t="s">
        <v>181</v>
      </c>
      <c r="D92" s="19" t="s">
        <v>968</v>
      </c>
      <c r="E92" s="20" t="s">
        <v>182</v>
      </c>
      <c r="F92" s="19" t="s">
        <v>971</v>
      </c>
      <c r="G92" s="19" t="s">
        <v>972</v>
      </c>
      <c r="H92" s="21" t="s">
        <v>35</v>
      </c>
      <c r="I92" s="19" t="s">
        <v>6</v>
      </c>
      <c r="J92" s="19" t="s">
        <v>6</v>
      </c>
    </row>
    <row r="93" customFormat="false" ht="15" hidden="false" customHeight="false" outlineLevel="0" collapsed="false">
      <c r="A93" s="18" t="n">
        <v>66</v>
      </c>
      <c r="B93" s="19" t="s">
        <v>166</v>
      </c>
      <c r="C93" s="19" t="s">
        <v>181</v>
      </c>
      <c r="D93" s="19" t="s">
        <v>968</v>
      </c>
      <c r="E93" s="20" t="s">
        <v>182</v>
      </c>
      <c r="F93" s="19" t="s">
        <v>973</v>
      </c>
      <c r="G93" s="19" t="s">
        <v>974</v>
      </c>
      <c r="H93" s="21" t="s">
        <v>35</v>
      </c>
      <c r="I93" s="19" t="s">
        <v>6</v>
      </c>
      <c r="J93" s="19" t="s">
        <v>6</v>
      </c>
    </row>
    <row r="94" customFormat="false" ht="15" hidden="false" customHeight="false" outlineLevel="0" collapsed="false">
      <c r="A94" s="18" t="n">
        <v>66</v>
      </c>
      <c r="B94" s="19" t="s">
        <v>166</v>
      </c>
      <c r="C94" s="19" t="s">
        <v>181</v>
      </c>
      <c r="D94" s="19" t="s">
        <v>968</v>
      </c>
      <c r="E94" s="20" t="s">
        <v>182</v>
      </c>
      <c r="F94" s="19" t="s">
        <v>975</v>
      </c>
      <c r="G94" s="19" t="s">
        <v>976</v>
      </c>
      <c r="H94" s="21" t="s">
        <v>35</v>
      </c>
      <c r="I94" s="19" t="s">
        <v>6</v>
      </c>
      <c r="J94" s="19" t="s">
        <v>6</v>
      </c>
    </row>
    <row r="95" customFormat="false" ht="15" hidden="false" customHeight="false" outlineLevel="0" collapsed="false">
      <c r="A95" s="18" t="n">
        <v>66</v>
      </c>
      <c r="B95" s="19" t="s">
        <v>166</v>
      </c>
      <c r="C95" s="19" t="s">
        <v>181</v>
      </c>
      <c r="D95" s="19" t="s">
        <v>968</v>
      </c>
      <c r="E95" s="20" t="s">
        <v>182</v>
      </c>
      <c r="F95" s="19" t="s">
        <v>977</v>
      </c>
      <c r="G95" s="19" t="s">
        <v>978</v>
      </c>
      <c r="H95" s="21" t="s">
        <v>35</v>
      </c>
      <c r="I95" s="19" t="s">
        <v>6</v>
      </c>
      <c r="J95" s="19" t="s">
        <v>6</v>
      </c>
    </row>
    <row r="96" customFormat="false" ht="15" hidden="false" customHeight="false" outlineLevel="0" collapsed="false">
      <c r="A96" s="18" t="n">
        <v>66</v>
      </c>
      <c r="B96" s="19" t="s">
        <v>166</v>
      </c>
      <c r="C96" s="19" t="s">
        <v>181</v>
      </c>
      <c r="D96" s="19" t="s">
        <v>968</v>
      </c>
      <c r="E96" s="20" t="s">
        <v>182</v>
      </c>
      <c r="F96" s="19" t="s">
        <v>979</v>
      </c>
      <c r="G96" s="19" t="s">
        <v>980</v>
      </c>
      <c r="H96" s="21" t="s">
        <v>35</v>
      </c>
      <c r="I96" s="19" t="s">
        <v>6</v>
      </c>
      <c r="J96" s="19" t="s">
        <v>6</v>
      </c>
    </row>
    <row r="97" customFormat="false" ht="15" hidden="false" customHeight="false" outlineLevel="0" collapsed="false">
      <c r="A97" s="18" t="n">
        <v>66</v>
      </c>
      <c r="B97" s="19" t="s">
        <v>166</v>
      </c>
      <c r="C97" s="19" t="s">
        <v>181</v>
      </c>
      <c r="D97" s="19" t="s">
        <v>968</v>
      </c>
      <c r="E97" s="20" t="s">
        <v>182</v>
      </c>
      <c r="F97" s="19" t="s">
        <v>981</v>
      </c>
      <c r="G97" s="19" t="s">
        <v>982</v>
      </c>
      <c r="H97" s="21" t="s">
        <v>35</v>
      </c>
      <c r="I97" s="19" t="s">
        <v>6</v>
      </c>
      <c r="J97" s="19" t="s">
        <v>6</v>
      </c>
    </row>
    <row r="98" customFormat="false" ht="15" hidden="false" customHeight="false" outlineLevel="0" collapsed="false">
      <c r="A98" s="18" t="n">
        <v>67</v>
      </c>
      <c r="B98" s="19" t="s">
        <v>166</v>
      </c>
      <c r="C98" s="19" t="s">
        <v>183</v>
      </c>
      <c r="D98" s="19" t="s">
        <v>983</v>
      </c>
      <c r="E98" s="20" t="s">
        <v>184</v>
      </c>
      <c r="F98" s="19" t="s">
        <v>984</v>
      </c>
      <c r="G98" s="19" t="s">
        <v>985</v>
      </c>
      <c r="H98" s="21" t="s">
        <v>35</v>
      </c>
      <c r="I98" s="19" t="s">
        <v>6</v>
      </c>
      <c r="J98" s="19" t="s">
        <v>6</v>
      </c>
    </row>
    <row r="99" customFormat="false" ht="15" hidden="false" customHeight="false" outlineLevel="0" collapsed="false">
      <c r="A99" s="18" t="n">
        <v>67</v>
      </c>
      <c r="B99" s="19" t="s">
        <v>166</v>
      </c>
      <c r="C99" s="19" t="s">
        <v>183</v>
      </c>
      <c r="D99" s="19" t="s">
        <v>983</v>
      </c>
      <c r="E99" s="20" t="s">
        <v>184</v>
      </c>
      <c r="F99" s="19" t="s">
        <v>986</v>
      </c>
      <c r="G99" s="19" t="s">
        <v>987</v>
      </c>
      <c r="H99" s="21" t="s">
        <v>35</v>
      </c>
      <c r="I99" s="19" t="s">
        <v>6</v>
      </c>
      <c r="J99" s="19" t="s">
        <v>6</v>
      </c>
    </row>
    <row r="100" customFormat="false" ht="15" hidden="false" customHeight="false" outlineLevel="0" collapsed="false">
      <c r="A100" s="18" t="n">
        <v>67</v>
      </c>
      <c r="B100" s="19" t="s">
        <v>166</v>
      </c>
      <c r="C100" s="19" t="s">
        <v>183</v>
      </c>
      <c r="D100" s="19" t="s">
        <v>983</v>
      </c>
      <c r="E100" s="20" t="s">
        <v>184</v>
      </c>
      <c r="F100" s="19" t="s">
        <v>988</v>
      </c>
      <c r="G100" s="19" t="s">
        <v>989</v>
      </c>
      <c r="H100" s="21" t="s">
        <v>35</v>
      </c>
      <c r="I100" s="19" t="s">
        <v>6</v>
      </c>
      <c r="J100" s="19" t="s">
        <v>6</v>
      </c>
    </row>
    <row r="101" customFormat="false" ht="15" hidden="false" customHeight="false" outlineLevel="0" collapsed="false">
      <c r="A101" s="18" t="n">
        <v>67</v>
      </c>
      <c r="B101" s="19" t="s">
        <v>166</v>
      </c>
      <c r="C101" s="19" t="s">
        <v>183</v>
      </c>
      <c r="D101" s="19" t="s">
        <v>983</v>
      </c>
      <c r="E101" s="20" t="s">
        <v>184</v>
      </c>
      <c r="F101" s="19" t="s">
        <v>990</v>
      </c>
      <c r="G101" s="19" t="s">
        <v>991</v>
      </c>
      <c r="H101" s="21" t="s">
        <v>35</v>
      </c>
      <c r="I101" s="19" t="s">
        <v>6</v>
      </c>
      <c r="J101" s="19" t="s">
        <v>6</v>
      </c>
    </row>
    <row r="102" customFormat="false" ht="15" hidden="false" customHeight="false" outlineLevel="0" collapsed="false">
      <c r="A102" s="18" t="n">
        <v>67</v>
      </c>
      <c r="B102" s="19" t="s">
        <v>166</v>
      </c>
      <c r="C102" s="19" t="s">
        <v>183</v>
      </c>
      <c r="D102" s="19" t="s">
        <v>983</v>
      </c>
      <c r="E102" s="20" t="s">
        <v>184</v>
      </c>
      <c r="F102" s="19" t="s">
        <v>992</v>
      </c>
      <c r="G102" s="19" t="s">
        <v>993</v>
      </c>
      <c r="H102" s="21" t="s">
        <v>35</v>
      </c>
      <c r="I102" s="19" t="s">
        <v>6</v>
      </c>
      <c r="J102" s="19" t="s">
        <v>6</v>
      </c>
    </row>
    <row r="103" customFormat="false" ht="15" hidden="false" customHeight="false" outlineLevel="0" collapsed="false">
      <c r="A103" s="18" t="n">
        <v>69</v>
      </c>
      <c r="B103" s="19" t="s">
        <v>187</v>
      </c>
      <c r="C103" s="19" t="s">
        <v>188</v>
      </c>
      <c r="D103" s="19" t="s">
        <v>994</v>
      </c>
      <c r="E103" s="20" t="s">
        <v>189</v>
      </c>
      <c r="F103" s="19" t="s">
        <v>995</v>
      </c>
      <c r="G103" s="19" t="s">
        <v>996</v>
      </c>
      <c r="H103" s="21" t="s">
        <v>35</v>
      </c>
      <c r="I103" s="19" t="s">
        <v>6</v>
      </c>
      <c r="J103" s="19" t="s">
        <v>6</v>
      </c>
    </row>
    <row r="104" customFormat="false" ht="15" hidden="false" customHeight="false" outlineLevel="0" collapsed="false">
      <c r="A104" s="18" t="n">
        <v>69</v>
      </c>
      <c r="B104" s="19" t="s">
        <v>187</v>
      </c>
      <c r="C104" s="19" t="s">
        <v>188</v>
      </c>
      <c r="D104" s="19" t="s">
        <v>994</v>
      </c>
      <c r="E104" s="20" t="s">
        <v>189</v>
      </c>
      <c r="F104" s="19" t="s">
        <v>997</v>
      </c>
      <c r="G104" s="19" t="s">
        <v>998</v>
      </c>
      <c r="H104" s="21" t="s">
        <v>35</v>
      </c>
      <c r="I104" s="19" t="s">
        <v>6</v>
      </c>
      <c r="J104" s="19" t="s">
        <v>6</v>
      </c>
    </row>
    <row r="105" customFormat="false" ht="15" hidden="false" customHeight="false" outlineLevel="0" collapsed="false">
      <c r="A105" s="18" t="n">
        <v>69</v>
      </c>
      <c r="B105" s="19" t="s">
        <v>187</v>
      </c>
      <c r="C105" s="19" t="s">
        <v>188</v>
      </c>
      <c r="D105" s="19" t="s">
        <v>994</v>
      </c>
      <c r="E105" s="20" t="s">
        <v>189</v>
      </c>
      <c r="F105" s="19" t="s">
        <v>999</v>
      </c>
      <c r="G105" s="19" t="s">
        <v>1000</v>
      </c>
      <c r="H105" s="21" t="s">
        <v>35</v>
      </c>
      <c r="I105" s="19" t="s">
        <v>6</v>
      </c>
      <c r="J105" s="19" t="s">
        <v>6</v>
      </c>
    </row>
    <row r="106" customFormat="false" ht="15" hidden="false" customHeight="false" outlineLevel="0" collapsed="false">
      <c r="A106" s="18" t="n">
        <v>69</v>
      </c>
      <c r="B106" s="19" t="s">
        <v>187</v>
      </c>
      <c r="C106" s="19" t="s">
        <v>188</v>
      </c>
      <c r="D106" s="19" t="s">
        <v>994</v>
      </c>
      <c r="E106" s="20" t="s">
        <v>189</v>
      </c>
      <c r="F106" s="19" t="s">
        <v>1001</v>
      </c>
      <c r="G106" s="19" t="s">
        <v>1002</v>
      </c>
      <c r="H106" s="21" t="s">
        <v>35</v>
      </c>
      <c r="I106" s="19" t="s">
        <v>6</v>
      </c>
      <c r="J106" s="19" t="s">
        <v>6</v>
      </c>
    </row>
    <row r="107" customFormat="false" ht="15" hidden="false" customHeight="false" outlineLevel="0" collapsed="false">
      <c r="A107" s="18" t="n">
        <v>69</v>
      </c>
      <c r="B107" s="19" t="s">
        <v>187</v>
      </c>
      <c r="C107" s="19" t="s">
        <v>188</v>
      </c>
      <c r="D107" s="19" t="s">
        <v>994</v>
      </c>
      <c r="E107" s="20" t="s">
        <v>189</v>
      </c>
      <c r="F107" s="19" t="s">
        <v>1003</v>
      </c>
      <c r="G107" s="19" t="s">
        <v>1004</v>
      </c>
      <c r="H107" s="21" t="s">
        <v>35</v>
      </c>
      <c r="I107" s="19" t="s">
        <v>6</v>
      </c>
      <c r="J107" s="19" t="s">
        <v>6</v>
      </c>
    </row>
    <row r="108" customFormat="false" ht="15" hidden="false" customHeight="false" outlineLevel="0" collapsed="false">
      <c r="A108" s="18" t="n">
        <v>70</v>
      </c>
      <c r="B108" s="19" t="s">
        <v>187</v>
      </c>
      <c r="C108" s="19" t="s">
        <v>191</v>
      </c>
      <c r="D108" s="19" t="s">
        <v>994</v>
      </c>
      <c r="E108" s="20" t="s">
        <v>192</v>
      </c>
      <c r="F108" s="19" t="s">
        <v>1005</v>
      </c>
      <c r="G108" s="19" t="s">
        <v>1006</v>
      </c>
      <c r="H108" s="21" t="s">
        <v>35</v>
      </c>
      <c r="I108" s="19" t="s">
        <v>6</v>
      </c>
      <c r="J108" s="19" t="s">
        <v>6</v>
      </c>
    </row>
    <row r="109" customFormat="false" ht="15" hidden="false" customHeight="false" outlineLevel="0" collapsed="false">
      <c r="A109" s="18" t="n">
        <v>70</v>
      </c>
      <c r="B109" s="19" t="s">
        <v>187</v>
      </c>
      <c r="C109" s="19" t="s">
        <v>191</v>
      </c>
      <c r="D109" s="19" t="s">
        <v>994</v>
      </c>
      <c r="E109" s="20" t="s">
        <v>192</v>
      </c>
      <c r="F109" s="19" t="s">
        <v>1007</v>
      </c>
      <c r="G109" s="19" t="s">
        <v>1008</v>
      </c>
      <c r="H109" s="21" t="s">
        <v>35</v>
      </c>
      <c r="I109" s="19" t="s">
        <v>6</v>
      </c>
      <c r="J109" s="19" t="s">
        <v>6</v>
      </c>
    </row>
    <row r="110" customFormat="false" ht="15" hidden="false" customHeight="false" outlineLevel="0" collapsed="false">
      <c r="A110" s="18" t="n">
        <v>70</v>
      </c>
      <c r="B110" s="19" t="s">
        <v>187</v>
      </c>
      <c r="C110" s="19" t="s">
        <v>191</v>
      </c>
      <c r="D110" s="19" t="s">
        <v>994</v>
      </c>
      <c r="E110" s="20" t="s">
        <v>192</v>
      </c>
      <c r="F110" s="19" t="s">
        <v>1009</v>
      </c>
      <c r="G110" s="19" t="s">
        <v>1010</v>
      </c>
      <c r="H110" s="21" t="s">
        <v>35</v>
      </c>
      <c r="I110" s="19" t="s">
        <v>6</v>
      </c>
      <c r="J110" s="19" t="s">
        <v>6</v>
      </c>
    </row>
    <row r="111" customFormat="false" ht="15" hidden="false" customHeight="false" outlineLevel="0" collapsed="false">
      <c r="A111" s="18" t="n">
        <v>70</v>
      </c>
      <c r="B111" s="19" t="s">
        <v>187</v>
      </c>
      <c r="C111" s="19" t="s">
        <v>191</v>
      </c>
      <c r="D111" s="19" t="s">
        <v>994</v>
      </c>
      <c r="E111" s="20" t="s">
        <v>192</v>
      </c>
      <c r="F111" s="19" t="s">
        <v>1011</v>
      </c>
      <c r="G111" s="19" t="s">
        <v>1012</v>
      </c>
      <c r="H111" s="21" t="s">
        <v>35</v>
      </c>
      <c r="I111" s="19" t="s">
        <v>6</v>
      </c>
      <c r="J111" s="19" t="s">
        <v>6</v>
      </c>
    </row>
    <row r="112" customFormat="false" ht="23.85" hidden="false" customHeight="false" outlineLevel="0" collapsed="false">
      <c r="A112" s="18" t="n">
        <v>71</v>
      </c>
      <c r="B112" s="19" t="s">
        <v>187</v>
      </c>
      <c r="C112" s="19" t="s">
        <v>193</v>
      </c>
      <c r="D112" s="19" t="s">
        <v>994</v>
      </c>
      <c r="E112" s="20" t="s">
        <v>194</v>
      </c>
      <c r="F112" s="19" t="s">
        <v>1013</v>
      </c>
      <c r="G112" s="19" t="s">
        <v>870</v>
      </c>
      <c r="H112" s="22" t="s">
        <v>66</v>
      </c>
      <c r="I112" s="19" t="s">
        <v>6</v>
      </c>
      <c r="J112" s="19" t="s">
        <v>6</v>
      </c>
    </row>
    <row r="113" customFormat="false" ht="23.85" hidden="false" customHeight="false" outlineLevel="0" collapsed="false">
      <c r="A113" s="18" t="n">
        <v>71</v>
      </c>
      <c r="B113" s="19" t="s">
        <v>187</v>
      </c>
      <c r="C113" s="19" t="s">
        <v>193</v>
      </c>
      <c r="D113" s="19" t="s">
        <v>994</v>
      </c>
      <c r="E113" s="20" t="s">
        <v>194</v>
      </c>
      <c r="F113" s="19" t="s">
        <v>1014</v>
      </c>
      <c r="G113" s="19" t="s">
        <v>1015</v>
      </c>
      <c r="H113" s="22" t="s">
        <v>66</v>
      </c>
      <c r="I113" s="19" t="s">
        <v>6</v>
      </c>
      <c r="J113" s="19" t="s">
        <v>6</v>
      </c>
    </row>
    <row r="114" customFormat="false" ht="23.85" hidden="false" customHeight="false" outlineLevel="0" collapsed="false">
      <c r="A114" s="18" t="n">
        <v>71</v>
      </c>
      <c r="B114" s="19" t="s">
        <v>187</v>
      </c>
      <c r="C114" s="19" t="s">
        <v>193</v>
      </c>
      <c r="D114" s="19" t="s">
        <v>994</v>
      </c>
      <c r="E114" s="20" t="s">
        <v>194</v>
      </c>
      <c r="F114" s="19" t="s">
        <v>1016</v>
      </c>
      <c r="G114" s="19" t="s">
        <v>1017</v>
      </c>
      <c r="H114" s="22" t="s">
        <v>66</v>
      </c>
      <c r="I114" s="19" t="s">
        <v>6</v>
      </c>
      <c r="J114" s="19" t="s">
        <v>6</v>
      </c>
    </row>
    <row r="115" customFormat="false" ht="15" hidden="false" customHeight="false" outlineLevel="0" collapsed="false">
      <c r="A115" s="18" t="n">
        <v>72</v>
      </c>
      <c r="B115" s="19" t="s">
        <v>187</v>
      </c>
      <c r="C115" s="19" t="s">
        <v>196</v>
      </c>
      <c r="D115" s="19" t="s">
        <v>994</v>
      </c>
      <c r="E115" s="20" t="s">
        <v>197</v>
      </c>
      <c r="F115" s="19" t="s">
        <v>1018</v>
      </c>
      <c r="G115" s="19" t="s">
        <v>1019</v>
      </c>
      <c r="H115" s="22" t="s">
        <v>66</v>
      </c>
      <c r="I115" s="19" t="s">
        <v>6</v>
      </c>
      <c r="J115" s="19" t="s">
        <v>6</v>
      </c>
    </row>
    <row r="116" customFormat="false" ht="15" hidden="false" customHeight="false" outlineLevel="0" collapsed="false">
      <c r="A116" s="18" t="n">
        <v>72</v>
      </c>
      <c r="B116" s="19" t="s">
        <v>187</v>
      </c>
      <c r="C116" s="19" t="s">
        <v>196</v>
      </c>
      <c r="D116" s="19" t="s">
        <v>994</v>
      </c>
      <c r="E116" s="20" t="s">
        <v>197</v>
      </c>
      <c r="F116" s="19" t="s">
        <v>1020</v>
      </c>
      <c r="G116" s="19" t="s">
        <v>1021</v>
      </c>
      <c r="H116" s="22" t="s">
        <v>66</v>
      </c>
      <c r="I116" s="19" t="s">
        <v>6</v>
      </c>
      <c r="J116" s="19" t="s">
        <v>6</v>
      </c>
    </row>
    <row r="117" customFormat="false" ht="15" hidden="false" customHeight="false" outlineLevel="0" collapsed="false">
      <c r="A117" s="18" t="n">
        <v>72</v>
      </c>
      <c r="B117" s="19" t="s">
        <v>187</v>
      </c>
      <c r="C117" s="19" t="s">
        <v>196</v>
      </c>
      <c r="D117" s="19" t="s">
        <v>994</v>
      </c>
      <c r="E117" s="20" t="s">
        <v>197</v>
      </c>
      <c r="F117" s="19" t="s">
        <v>1022</v>
      </c>
      <c r="G117" s="19" t="s">
        <v>1023</v>
      </c>
      <c r="H117" s="22" t="s">
        <v>66</v>
      </c>
      <c r="I117" s="19" t="s">
        <v>6</v>
      </c>
      <c r="J117" s="19" t="s">
        <v>6</v>
      </c>
    </row>
    <row r="118" customFormat="false" ht="15" hidden="false" customHeight="false" outlineLevel="0" collapsed="false">
      <c r="A118" s="18" t="n">
        <v>75</v>
      </c>
      <c r="B118" s="19" t="s">
        <v>199</v>
      </c>
      <c r="C118" s="19" t="s">
        <v>205</v>
      </c>
      <c r="D118" s="19" t="s">
        <v>1024</v>
      </c>
      <c r="E118" s="20" t="s">
        <v>203</v>
      </c>
      <c r="F118" s="19" t="s">
        <v>1025</v>
      </c>
      <c r="G118" s="19" t="s">
        <v>1026</v>
      </c>
      <c r="H118" s="21" t="s">
        <v>35</v>
      </c>
      <c r="I118" s="19" t="s">
        <v>6</v>
      </c>
      <c r="J118" s="19" t="s">
        <v>6</v>
      </c>
    </row>
    <row r="119" customFormat="false" ht="15" hidden="false" customHeight="false" outlineLevel="0" collapsed="false">
      <c r="A119" s="18" t="n">
        <v>75</v>
      </c>
      <c r="B119" s="19" t="s">
        <v>199</v>
      </c>
      <c r="C119" s="19" t="s">
        <v>205</v>
      </c>
      <c r="D119" s="19" t="s">
        <v>1024</v>
      </c>
      <c r="E119" s="20" t="s">
        <v>203</v>
      </c>
      <c r="F119" s="19" t="s">
        <v>1027</v>
      </c>
      <c r="G119" s="19" t="s">
        <v>1028</v>
      </c>
      <c r="H119" s="21" t="s">
        <v>35</v>
      </c>
      <c r="I119" s="19" t="s">
        <v>6</v>
      </c>
      <c r="J119" s="19" t="s">
        <v>6</v>
      </c>
    </row>
    <row r="120" customFormat="false" ht="15" hidden="false" customHeight="false" outlineLevel="0" collapsed="false">
      <c r="A120" s="18" t="n">
        <v>75</v>
      </c>
      <c r="B120" s="19" t="s">
        <v>199</v>
      </c>
      <c r="C120" s="19" t="s">
        <v>205</v>
      </c>
      <c r="D120" s="19" t="s">
        <v>1024</v>
      </c>
      <c r="E120" s="20" t="s">
        <v>203</v>
      </c>
      <c r="F120" s="19" t="s">
        <v>1029</v>
      </c>
      <c r="G120" s="19" t="s">
        <v>1030</v>
      </c>
      <c r="H120" s="21" t="s">
        <v>35</v>
      </c>
      <c r="I120" s="19" t="s">
        <v>6</v>
      </c>
      <c r="J120" s="19" t="s">
        <v>6</v>
      </c>
    </row>
    <row r="121" customFormat="false" ht="15" hidden="false" customHeight="false" outlineLevel="0" collapsed="false">
      <c r="A121" s="18" t="n">
        <v>75</v>
      </c>
      <c r="B121" s="19" t="s">
        <v>199</v>
      </c>
      <c r="C121" s="19" t="s">
        <v>205</v>
      </c>
      <c r="D121" s="19" t="s">
        <v>1024</v>
      </c>
      <c r="E121" s="20" t="s">
        <v>203</v>
      </c>
      <c r="F121" s="19" t="s">
        <v>1031</v>
      </c>
      <c r="G121" s="19" t="s">
        <v>1032</v>
      </c>
      <c r="H121" s="21" t="s">
        <v>35</v>
      </c>
      <c r="I121" s="19" t="s">
        <v>6</v>
      </c>
      <c r="J121" s="19" t="s">
        <v>6</v>
      </c>
    </row>
    <row r="122" customFormat="false" ht="15" hidden="false" customHeight="false" outlineLevel="0" collapsed="false">
      <c r="A122" s="18" t="n">
        <v>75</v>
      </c>
      <c r="B122" s="19" t="s">
        <v>199</v>
      </c>
      <c r="C122" s="19" t="s">
        <v>205</v>
      </c>
      <c r="D122" s="19" t="s">
        <v>1024</v>
      </c>
      <c r="E122" s="20" t="s">
        <v>203</v>
      </c>
      <c r="F122" s="19" t="s">
        <v>1033</v>
      </c>
      <c r="G122" s="19" t="s">
        <v>1034</v>
      </c>
      <c r="H122" s="21" t="s">
        <v>35</v>
      </c>
      <c r="I122" s="19" t="s">
        <v>6</v>
      </c>
      <c r="J122" s="19" t="s">
        <v>6</v>
      </c>
    </row>
    <row r="123" customFormat="false" ht="15" hidden="false" customHeight="false" outlineLevel="0" collapsed="false">
      <c r="A123" s="18" t="n">
        <v>75</v>
      </c>
      <c r="B123" s="19" t="s">
        <v>199</v>
      </c>
      <c r="C123" s="19" t="s">
        <v>205</v>
      </c>
      <c r="D123" s="19" t="s">
        <v>1024</v>
      </c>
      <c r="E123" s="20" t="s">
        <v>203</v>
      </c>
      <c r="F123" s="19" t="s">
        <v>1035</v>
      </c>
      <c r="G123" s="19" t="s">
        <v>1036</v>
      </c>
      <c r="H123" s="21" t="s">
        <v>35</v>
      </c>
      <c r="I123" s="19" t="s">
        <v>6</v>
      </c>
      <c r="J123" s="19" t="s">
        <v>6</v>
      </c>
    </row>
    <row r="124" customFormat="false" ht="15" hidden="false" customHeight="false" outlineLevel="0" collapsed="false">
      <c r="A124" s="18" t="n">
        <v>75</v>
      </c>
      <c r="B124" s="19" t="s">
        <v>199</v>
      </c>
      <c r="C124" s="19" t="s">
        <v>205</v>
      </c>
      <c r="D124" s="19" t="s">
        <v>1024</v>
      </c>
      <c r="E124" s="20" t="s">
        <v>203</v>
      </c>
      <c r="F124" s="19" t="s">
        <v>1037</v>
      </c>
      <c r="G124" s="19" t="s">
        <v>765</v>
      </c>
      <c r="H124" s="21" t="s">
        <v>35</v>
      </c>
      <c r="I124" s="19" t="s">
        <v>6</v>
      </c>
      <c r="J124" s="19" t="s">
        <v>6</v>
      </c>
    </row>
  </sheetData>
  <autoFilter ref="A1:J124"/>
  <dataValidations count="3">
    <dataValidation allowBlank="false" errorStyle="stop" operator="between" showDropDown="false" showErrorMessage="false" showInputMessage="false" sqref="I2:I124" type="list">
      <formula1>"Not Started,In Progress,Done"</formula1>
      <formula2>0</formula2>
    </dataValidation>
    <dataValidation allowBlank="false" errorStyle="stop" operator="between" showDropDown="false" showErrorMessage="false" showInputMessage="false" sqref="J2:J124" type="list">
      <formula1>"Not Started,Script Ready,Reel Made,Watched"</formula1>
      <formula2>0</formula2>
    </dataValidation>
    <dataValidation allowBlank="false" errorStyle="stop" operator="between" showDropDown="false" showErrorMessage="false" showInputMessage="false" sqref="H2:H124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2026-10-02T18:58:33Z</dcterms:created>
  <dc:creator>openpyxl</dc:creator>
  <dc:description/>
  <dc:language>en-US</dc:language>
  <cp:lastModifiedBy/>
  <dcterms:modified xsi:type="dcterms:W3CDTF">2026-10-02T18:58:34Z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